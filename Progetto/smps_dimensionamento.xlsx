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activeX/activeX16.xml" ContentType="application/vnd.ms-office.activeX+xml"/>
  <Override PartName="/xl/activeX/activeX16.bin" ContentType="application/vnd.ms-office.activeX"/>
  <Override PartName="/xl/activeX/activeX17.xml" ContentType="application/vnd.ms-office.activeX+xml"/>
  <Override PartName="/xl/activeX/activeX17.bin" ContentType="application/vnd.ms-office.activeX"/>
  <Override PartName="/xl/activeX/activeX18.xml" ContentType="application/vnd.ms-office.activeX+xml"/>
  <Override PartName="/xl/activeX/activeX18.bin" ContentType="application/vnd.ms-office.activeX"/>
  <Override PartName="/xl/activeX/activeX19.xml" ContentType="application/vnd.ms-office.activeX+xml"/>
  <Override PartName="/xl/activeX/activeX19.bin" ContentType="application/vnd.ms-office.activeX"/>
  <Override PartName="/xl/activeX/activeX20.xml" ContentType="application/vnd.ms-office.activeX+xml"/>
  <Override PartName="/xl/activeX/activeX20.bin" ContentType="application/vnd.ms-office.activeX"/>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Andrea\Documents\Progetti Elettronica\2025\DC_CDI_Honda_CX500\Progetto\"/>
    </mc:Choice>
  </mc:AlternateContent>
  <xr:revisionPtr revIDLastSave="0" documentId="8_{2A9D5CD4-2D8F-4F99-B497-28F9944794AC}" xr6:coauthVersionLast="47" xr6:coauthVersionMax="47" xr10:uidLastSave="{00000000-0000-0000-0000-000000000000}"/>
  <workbookProtection workbookPassword="944E" lockStructure="1"/>
  <bookViews>
    <workbookView xWindow="-108" yWindow="-108" windowWidth="23256" windowHeight="12456" tabRatio="713" activeTab="2" xr2:uid="{79079268-ADD9-46FB-B6C4-1EEDDB2A8041}"/>
  </bookViews>
  <sheets>
    <sheet name="Title_and_Schematics" sheetId="12" r:id="rId1"/>
    <sheet name="IC" sheetId="4" state="hidden" r:id="rId2"/>
    <sheet name="Main" sheetId="3" r:id="rId3"/>
    <sheet name="Components" sheetId="13" r:id="rId4"/>
    <sheet name="PS" sheetId="5" state="hidden" r:id="rId5"/>
    <sheet name="BodI" sheetId="6" state="hidden" r:id="rId6"/>
    <sheet name="Notes" sheetId="11" r:id="rId7"/>
    <sheet name="LTC" sheetId="14" state="hidden" r:id="rId8"/>
  </sheets>
  <definedNames>
    <definedName name="fc">Main!$C$60</definedName>
    <definedName name="fea">IC!$P$3</definedName>
    <definedName name="fpo">Main!$G$63</definedName>
    <definedName name="fs">Main!$G$13</definedName>
    <definedName name="fsr">Main!$G$10*0.001</definedName>
    <definedName name="fthp">Main!$G$61</definedName>
    <definedName name="fthz">Main!$G$62</definedName>
    <definedName name="IC">IC!$A$2:$A$2</definedName>
    <definedName name="INTVcc">Main!$C$32</definedName>
    <definedName name="Io">Main!$C$14</definedName>
    <definedName name="Kref">BodI!$P$3</definedName>
    <definedName name="Rds">Main!$C$39</definedName>
    <definedName name="Rl">Main!$C$19*1.3</definedName>
    <definedName name="Small_Signal_calculation">PS!$B$65</definedName>
    <definedName name="Tfall">IC!$U$3</definedName>
    <definedName name="Trise">IC!$T$3</definedName>
    <definedName name="Vd">Main!$G$30</definedName>
    <definedName name="Vgmode">PS!#REF!</definedName>
    <definedName name="Vin_L">PS!#REF!</definedName>
    <definedName name="Vin_nom">Main!$C$11</definedName>
    <definedName name="Vout">Main!$C$13</definedName>
  </definedNames>
  <calcPr calcId="191029" iterate="1" iterateCount="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1" i="3" l="1"/>
  <c r="E51" i="3" s="1"/>
  <c r="G51" i="3" s="1"/>
  <c r="B51" i="3"/>
  <c r="C75" i="3" s="1"/>
  <c r="B6" i="5"/>
  <c r="B9" i="5" s="1"/>
  <c r="B14" i="5"/>
  <c r="B5" i="5"/>
  <c r="B29" i="5"/>
  <c r="B30" i="5"/>
  <c r="B13" i="5"/>
  <c r="C33" i="3"/>
  <c r="B41" i="5"/>
  <c r="B43" i="5"/>
  <c r="G42" i="3"/>
  <c r="B55" i="5"/>
  <c r="G41" i="3"/>
  <c r="B45" i="5"/>
  <c r="C41" i="5"/>
  <c r="C43" i="5"/>
  <c r="C45" i="5"/>
  <c r="D41" i="5"/>
  <c r="D43" i="5"/>
  <c r="D45" i="5"/>
  <c r="E41" i="5"/>
  <c r="E43" i="5"/>
  <c r="E45" i="5"/>
  <c r="F43" i="5"/>
  <c r="G31" i="3" s="1"/>
  <c r="P3" i="6"/>
  <c r="C68" i="3"/>
  <c r="B73" i="6"/>
  <c r="C3" i="6"/>
  <c r="C9" i="6" s="1"/>
  <c r="D82" i="6" s="1"/>
  <c r="C16" i="6"/>
  <c r="C18" i="6"/>
  <c r="C48" i="6"/>
  <c r="B66" i="5"/>
  <c r="C46" i="6"/>
  <c r="P24" i="6"/>
  <c r="B2" i="5"/>
  <c r="C76" i="5" s="1"/>
  <c r="B81" i="5"/>
  <c r="P6" i="6"/>
  <c r="R3" i="4"/>
  <c r="B76" i="5"/>
  <c r="P37" i="6"/>
  <c r="B109" i="6"/>
  <c r="B127" i="6"/>
  <c r="B118" i="6"/>
  <c r="B122" i="6"/>
  <c r="B120" i="6"/>
  <c r="B121" i="6"/>
  <c r="B91" i="6"/>
  <c r="B100" i="6"/>
  <c r="B104" i="6"/>
  <c r="B106" i="6"/>
  <c r="B107" i="6"/>
  <c r="B108" i="6"/>
  <c r="B113" i="6"/>
  <c r="B111" i="6"/>
  <c r="B110" i="6"/>
  <c r="B112" i="6"/>
  <c r="B102" i="6"/>
  <c r="B103" i="6"/>
  <c r="B115" i="6"/>
  <c r="B116" i="6"/>
  <c r="B117" i="6"/>
  <c r="B114" i="6"/>
  <c r="B105" i="6"/>
  <c r="B119" i="6"/>
  <c r="B124" i="6"/>
  <c r="B123" i="6"/>
  <c r="B136" i="6"/>
  <c r="B140" i="6"/>
  <c r="B142" i="6"/>
  <c r="B143" i="6"/>
  <c r="B144" i="6"/>
  <c r="B82" i="6"/>
  <c r="B77" i="6"/>
  <c r="B75" i="6"/>
  <c r="B74" i="6"/>
  <c r="B37" i="6"/>
  <c r="B55" i="6"/>
  <c r="B64" i="6"/>
  <c r="B59" i="6"/>
  <c r="B61" i="6"/>
  <c r="B62" i="6"/>
  <c r="B76" i="6"/>
  <c r="B46" i="6"/>
  <c r="B50" i="6"/>
  <c r="B52" i="6"/>
  <c r="B51" i="6"/>
  <c r="B101" i="6"/>
  <c r="B151" i="6"/>
  <c r="B126" i="6"/>
  <c r="B138" i="6"/>
  <c r="B132" i="6"/>
  <c r="B129" i="6"/>
  <c r="B176" i="6"/>
  <c r="B163" i="6"/>
  <c r="B157" i="6"/>
  <c r="B160" i="6"/>
  <c r="B158" i="6"/>
  <c r="B159" i="6"/>
  <c r="B200" i="6"/>
  <c r="B199" i="6"/>
  <c r="B198" i="6"/>
  <c r="B197" i="6"/>
  <c r="B196" i="6"/>
  <c r="B195" i="6"/>
  <c r="B194" i="6"/>
  <c r="B193" i="6"/>
  <c r="B192" i="6"/>
  <c r="B191" i="6"/>
  <c r="B190" i="6"/>
  <c r="B189" i="6"/>
  <c r="B188" i="6"/>
  <c r="B187" i="6"/>
  <c r="B186" i="6"/>
  <c r="B185" i="6"/>
  <c r="B184" i="6"/>
  <c r="B183" i="6"/>
  <c r="B182" i="6"/>
  <c r="B181" i="6"/>
  <c r="B180" i="6"/>
  <c r="B179" i="6"/>
  <c r="B178" i="6"/>
  <c r="B177" i="6"/>
  <c r="B175" i="6"/>
  <c r="B174" i="6"/>
  <c r="B173" i="6"/>
  <c r="B172" i="6"/>
  <c r="B171" i="6"/>
  <c r="B170" i="6"/>
  <c r="B169" i="6"/>
  <c r="B168" i="6"/>
  <c r="B167" i="6"/>
  <c r="B166" i="6"/>
  <c r="B165" i="6"/>
  <c r="B164" i="6"/>
  <c r="B162" i="6"/>
  <c r="B161" i="6"/>
  <c r="B156" i="6"/>
  <c r="B155" i="6"/>
  <c r="B154" i="6"/>
  <c r="B153" i="6"/>
  <c r="B152" i="6"/>
  <c r="B150" i="6"/>
  <c r="B149" i="6"/>
  <c r="B148" i="6"/>
  <c r="B147" i="6"/>
  <c r="B146" i="6"/>
  <c r="B145" i="6"/>
  <c r="B141" i="6"/>
  <c r="B139" i="6"/>
  <c r="B137" i="6"/>
  <c r="B135" i="6"/>
  <c r="B134" i="6"/>
  <c r="B133" i="6"/>
  <c r="B131" i="6"/>
  <c r="B130" i="6"/>
  <c r="B128" i="6"/>
  <c r="B125" i="6"/>
  <c r="B99" i="6"/>
  <c r="B98" i="6"/>
  <c r="B97" i="6"/>
  <c r="B96" i="6"/>
  <c r="B95" i="6"/>
  <c r="B94" i="6"/>
  <c r="B93" i="6"/>
  <c r="B92" i="6"/>
  <c r="B90" i="6"/>
  <c r="B89" i="6"/>
  <c r="B88" i="6"/>
  <c r="B87" i="6"/>
  <c r="B86" i="6"/>
  <c r="B85" i="6"/>
  <c r="B84" i="6"/>
  <c r="B83" i="6"/>
  <c r="B81" i="6"/>
  <c r="B80" i="6"/>
  <c r="B79" i="6"/>
  <c r="B78" i="6"/>
  <c r="B72" i="6"/>
  <c r="B71" i="6"/>
  <c r="B70" i="6"/>
  <c r="B69" i="6"/>
  <c r="B68" i="6"/>
  <c r="B67" i="6"/>
  <c r="B66" i="6"/>
  <c r="B65" i="6"/>
  <c r="B63" i="6"/>
  <c r="B60" i="6"/>
  <c r="B58" i="6"/>
  <c r="B57" i="6"/>
  <c r="B56" i="6"/>
  <c r="B54" i="6"/>
  <c r="B53" i="6"/>
  <c r="B49" i="6"/>
  <c r="B48" i="6"/>
  <c r="B47" i="6"/>
  <c r="B45" i="6"/>
  <c r="B44" i="6"/>
  <c r="B43" i="6"/>
  <c r="B42" i="6"/>
  <c r="B41" i="6"/>
  <c r="B40" i="6"/>
  <c r="B39" i="6"/>
  <c r="B38" i="6"/>
  <c r="B36" i="6"/>
  <c r="B35" i="6"/>
  <c r="B34" i="6"/>
  <c r="B33" i="6"/>
  <c r="B32" i="6"/>
  <c r="B31" i="6"/>
  <c r="B30" i="6"/>
  <c r="B29" i="6"/>
  <c r="B28" i="6"/>
  <c r="B27" i="6"/>
  <c r="B26" i="6"/>
  <c r="B25" i="6"/>
  <c r="B24" i="6"/>
  <c r="B23" i="6"/>
  <c r="B22" i="6"/>
  <c r="B21" i="6"/>
  <c r="B20" i="6"/>
  <c r="B19" i="6"/>
  <c r="B18" i="6"/>
  <c r="B17" i="6"/>
  <c r="B16" i="6"/>
  <c r="B15" i="6"/>
  <c r="B14" i="6"/>
  <c r="B13" i="6"/>
  <c r="B12" i="6"/>
  <c r="B11" i="6"/>
  <c r="B10" i="6"/>
  <c r="B9" i="6"/>
  <c r="B8" i="6"/>
  <c r="B7" i="6"/>
  <c r="B6" i="6"/>
  <c r="B5" i="6"/>
  <c r="B4" i="6"/>
  <c r="B3" i="6"/>
  <c r="B2" i="6"/>
  <c r="C8" i="3"/>
  <c r="R4" i="4"/>
  <c r="F41" i="5"/>
  <c r="F45" i="5"/>
  <c r="B29" i="3"/>
  <c r="M39" i="3"/>
  <c r="A32" i="3"/>
  <c r="D55" i="5"/>
  <c r="E55" i="5" s="1"/>
  <c r="O39" i="3" s="1"/>
  <c r="G15" i="3"/>
  <c r="I4" i="4"/>
  <c r="C66" i="3"/>
  <c r="B4" i="5"/>
  <c r="G11" i="3" s="1"/>
  <c r="I3" i="4"/>
  <c r="E18" i="3"/>
  <c r="D7" i="3"/>
  <c r="G74" i="3"/>
  <c r="J67" i="3"/>
  <c r="C64" i="3"/>
  <c r="C22" i="6"/>
  <c r="B8" i="5"/>
  <c r="C36" i="3"/>
  <c r="B7" i="5"/>
  <c r="A10" i="5" s="1"/>
  <c r="C40" i="6"/>
  <c r="A51" i="3"/>
  <c r="C51" i="3" s="1"/>
  <c r="G75" i="3"/>
  <c r="P26" i="6"/>
  <c r="P28" i="6"/>
  <c r="C9" i="3"/>
  <c r="C7" i="3" s="1"/>
  <c r="G14" i="3"/>
  <c r="G9" i="3"/>
  <c r="C58" i="5"/>
  <c r="C27" i="6"/>
  <c r="C74" i="5"/>
  <c r="B74" i="5" s="1"/>
  <c r="C55" i="5"/>
  <c r="N39" i="3"/>
  <c r="A30" i="3" s="1"/>
  <c r="I67" i="3"/>
  <c r="P30" i="6" l="1"/>
  <c r="T69" i="6" s="1"/>
  <c r="T39" i="6"/>
  <c r="T123" i="6"/>
  <c r="T144" i="6"/>
  <c r="T143" i="6"/>
  <c r="T193" i="6"/>
  <c r="T54" i="6"/>
  <c r="T33" i="6"/>
  <c r="T31" i="6"/>
  <c r="T62" i="6"/>
  <c r="T165" i="6"/>
  <c r="T135" i="6"/>
  <c r="T182" i="6"/>
  <c r="T107" i="6"/>
  <c r="E82" i="6"/>
  <c r="G82" i="6" s="1"/>
  <c r="D196" i="6"/>
  <c r="T196" i="6"/>
  <c r="D88" i="6"/>
  <c r="P4" i="6"/>
  <c r="I69" i="3"/>
  <c r="P8" i="6"/>
  <c r="R25" i="6" s="1"/>
  <c r="D149" i="6"/>
  <c r="D178" i="6"/>
  <c r="D188" i="6"/>
  <c r="D30" i="6"/>
  <c r="D51" i="6"/>
  <c r="D170" i="6"/>
  <c r="D167" i="6"/>
  <c r="E167" i="6" s="1"/>
  <c r="G167" i="6" s="1"/>
  <c r="D62" i="6"/>
  <c r="E62" i="6" s="1"/>
  <c r="G62" i="6" s="1"/>
  <c r="D150" i="6"/>
  <c r="D87" i="6"/>
  <c r="D127" i="6"/>
  <c r="E127" i="6" s="1"/>
  <c r="G127" i="6" s="1"/>
  <c r="D39" i="6"/>
  <c r="D7" i="6"/>
  <c r="D193" i="6"/>
  <c r="D10" i="6"/>
  <c r="D180" i="6"/>
  <c r="D20" i="6"/>
  <c r="D163" i="6"/>
  <c r="D148" i="6"/>
  <c r="E148" i="6" s="1"/>
  <c r="G148" i="6" s="1"/>
  <c r="D125" i="6"/>
  <c r="D98" i="6"/>
  <c r="D176" i="6"/>
  <c r="D116" i="6"/>
  <c r="D128" i="6"/>
  <c r="D8" i="6"/>
  <c r="D179" i="6"/>
  <c r="D142" i="6"/>
  <c r="D40" i="6"/>
  <c r="D58" i="6"/>
  <c r="D86" i="6"/>
  <c r="D166" i="6"/>
  <c r="D6" i="6"/>
  <c r="D70" i="6"/>
  <c r="D29" i="6"/>
  <c r="D172" i="6"/>
  <c r="D189" i="6"/>
  <c r="D157" i="6"/>
  <c r="D85" i="6"/>
  <c r="D63" i="6"/>
  <c r="E63" i="6" s="1"/>
  <c r="G63" i="6" s="1"/>
  <c r="D43" i="6"/>
  <c r="D185" i="6"/>
  <c r="D171" i="6"/>
  <c r="D35" i="6"/>
  <c r="D151" i="6"/>
  <c r="D23" i="6"/>
  <c r="E23" i="6" s="1"/>
  <c r="G23" i="6" s="1"/>
  <c r="D56" i="6"/>
  <c r="D121" i="6"/>
  <c r="D5" i="6"/>
  <c r="D22" i="6"/>
  <c r="D122" i="6"/>
  <c r="D115" i="6"/>
  <c r="D55" i="6"/>
  <c r="E55" i="6" s="1"/>
  <c r="G55" i="6" s="1"/>
  <c r="D129" i="6"/>
  <c r="D99" i="6"/>
  <c r="D47" i="6"/>
  <c r="D48" i="6"/>
  <c r="D117" i="6"/>
  <c r="D114" i="6"/>
  <c r="D71" i="6"/>
  <c r="D45" i="6"/>
  <c r="D102" i="6"/>
  <c r="D162" i="6"/>
  <c r="D26" i="6"/>
  <c r="D12" i="6"/>
  <c r="D78" i="6"/>
  <c r="D84" i="6"/>
  <c r="D89" i="6"/>
  <c r="D16" i="6"/>
  <c r="D77" i="6"/>
  <c r="D28" i="6"/>
  <c r="D44" i="6"/>
  <c r="E44" i="6" s="1"/>
  <c r="G44" i="6" s="1"/>
  <c r="D41" i="6"/>
  <c r="D138" i="6"/>
  <c r="D181" i="6"/>
  <c r="D65" i="6"/>
  <c r="D36" i="6"/>
  <c r="D57" i="6"/>
  <c r="D37" i="6"/>
  <c r="D190" i="6"/>
  <c r="D14" i="6"/>
  <c r="D18" i="6"/>
  <c r="D38" i="6"/>
  <c r="D94" i="6"/>
  <c r="D133" i="6"/>
  <c r="D174" i="6"/>
  <c r="E174" i="6" s="1"/>
  <c r="G174" i="6" s="1"/>
  <c r="D61" i="6"/>
  <c r="D68" i="6"/>
  <c r="E68" i="6" s="1"/>
  <c r="G68" i="6" s="1"/>
  <c r="D134" i="6"/>
  <c r="E134" i="6" s="1"/>
  <c r="G134" i="6" s="1"/>
  <c r="D139" i="6"/>
  <c r="D75" i="6"/>
  <c r="D76" i="6"/>
  <c r="D24" i="6"/>
  <c r="D50" i="6"/>
  <c r="D4" i="6"/>
  <c r="E4" i="6" s="1"/>
  <c r="G4" i="6" s="1"/>
  <c r="D108" i="6"/>
  <c r="D67" i="6"/>
  <c r="D2" i="6"/>
  <c r="D80" i="6"/>
  <c r="D131" i="6"/>
  <c r="D173" i="6"/>
  <c r="D32" i="6"/>
  <c r="D103" i="6"/>
  <c r="D124" i="6"/>
  <c r="D145" i="6"/>
  <c r="D91" i="6"/>
  <c r="E91" i="6" s="1"/>
  <c r="G91" i="6" s="1"/>
  <c r="D168" i="6"/>
  <c r="D83" i="6"/>
  <c r="D165" i="6"/>
  <c r="D137" i="6"/>
  <c r="D126" i="6"/>
  <c r="D46" i="6"/>
  <c r="D33" i="6"/>
  <c r="D93" i="6"/>
  <c r="D146" i="6"/>
  <c r="D90" i="6"/>
  <c r="D195" i="6"/>
  <c r="D184" i="6"/>
  <c r="D95" i="6"/>
  <c r="E95" i="6" s="1"/>
  <c r="G95" i="6" s="1"/>
  <c r="D73" i="6"/>
  <c r="E73" i="6" s="1"/>
  <c r="G73" i="6" s="1"/>
  <c r="T73" i="6"/>
  <c r="D118" i="6"/>
  <c r="D109" i="6"/>
  <c r="T109" i="6"/>
  <c r="B72" i="5"/>
  <c r="B32" i="5"/>
  <c r="B25" i="5"/>
  <c r="B18" i="5"/>
  <c r="I22" i="3" s="1"/>
  <c r="B10" i="5"/>
  <c r="B21" i="5" s="1"/>
  <c r="B82" i="5"/>
  <c r="D159" i="6"/>
  <c r="E159" i="6" s="1"/>
  <c r="G159" i="6" s="1"/>
  <c r="T159" i="6"/>
  <c r="R169" i="6"/>
  <c r="D169" i="6"/>
  <c r="E169" i="6" s="1"/>
  <c r="G169" i="6" s="1"/>
  <c r="D186" i="6"/>
  <c r="E186" i="6" s="1"/>
  <c r="G186" i="6" s="1"/>
  <c r="T186" i="6"/>
  <c r="D158" i="6"/>
  <c r="E158" i="6" s="1"/>
  <c r="G158" i="6" s="1"/>
  <c r="D79" i="6"/>
  <c r="E79" i="6" s="1"/>
  <c r="G79" i="6" s="1"/>
  <c r="D92" i="6"/>
  <c r="E92" i="6" s="1"/>
  <c r="G92" i="6" s="1"/>
  <c r="D72" i="6"/>
  <c r="E72" i="6"/>
  <c r="G72" i="6" s="1"/>
  <c r="D17" i="6"/>
  <c r="E33" i="6"/>
  <c r="G33" i="6" s="1"/>
  <c r="D54" i="6"/>
  <c r="D141" i="6"/>
  <c r="E141" i="6" s="1"/>
  <c r="G141" i="6" s="1"/>
  <c r="D197" i="6"/>
  <c r="E197" i="6" s="1"/>
  <c r="G197" i="6" s="1"/>
  <c r="D182" i="6"/>
  <c r="D140" i="6"/>
  <c r="E140" i="6"/>
  <c r="G140" i="6" s="1"/>
  <c r="D34" i="6"/>
  <c r="D187" i="6"/>
  <c r="E187" i="6" s="1"/>
  <c r="G187" i="6" s="1"/>
  <c r="D160" i="6"/>
  <c r="D59" i="6"/>
  <c r="E15" i="6"/>
  <c r="G15" i="6" s="1"/>
  <c r="R31" i="6"/>
  <c r="D31" i="6"/>
  <c r="E31" i="6" s="1"/>
  <c r="G31" i="6" s="1"/>
  <c r="D49" i="6"/>
  <c r="D183" i="6"/>
  <c r="D144" i="6"/>
  <c r="D110" i="6"/>
  <c r="E110" i="6" s="1"/>
  <c r="G110" i="6" s="1"/>
  <c r="D53" i="6"/>
  <c r="E53" i="6" s="1"/>
  <c r="G53" i="6" s="1"/>
  <c r="D97" i="6"/>
  <c r="D147" i="6"/>
  <c r="D111" i="6"/>
  <c r="E123" i="6"/>
  <c r="G123" i="6" s="1"/>
  <c r="D123" i="6"/>
  <c r="D106" i="6"/>
  <c r="G58" i="3"/>
  <c r="D154" i="6"/>
  <c r="D64" i="6"/>
  <c r="D119" i="6"/>
  <c r="D100" i="6"/>
  <c r="D155" i="6"/>
  <c r="E155" i="6" s="1"/>
  <c r="G155" i="6" s="1"/>
  <c r="R174" i="6"/>
  <c r="D105" i="6"/>
  <c r="E105" i="6" s="1"/>
  <c r="G105" i="6" s="1"/>
  <c r="D66" i="6"/>
  <c r="E88" i="6"/>
  <c r="G88" i="6" s="1"/>
  <c r="D156" i="6"/>
  <c r="D175" i="6"/>
  <c r="D9" i="6"/>
  <c r="D25" i="6"/>
  <c r="E25" i="6" s="1"/>
  <c r="G25" i="6" s="1"/>
  <c r="D42" i="6"/>
  <c r="D135" i="6"/>
  <c r="D161" i="6"/>
  <c r="E161" i="6" s="1"/>
  <c r="G161" i="6" s="1"/>
  <c r="D15" i="6"/>
  <c r="R11" i="6"/>
  <c r="D11" i="6"/>
  <c r="D69" i="6"/>
  <c r="D164" i="6"/>
  <c r="D113" i="6"/>
  <c r="D132" i="6"/>
  <c r="D136" i="6"/>
  <c r="D107" i="6"/>
  <c r="D27" i="6"/>
  <c r="D96" i="6"/>
  <c r="D104" i="6"/>
  <c r="E11" i="6"/>
  <c r="G11" i="6" s="1"/>
  <c r="D198" i="6"/>
  <c r="D101" i="6"/>
  <c r="D199" i="6"/>
  <c r="D74" i="6"/>
  <c r="D152" i="6"/>
  <c r="D120" i="6"/>
  <c r="D153" i="6"/>
  <c r="D200" i="6"/>
  <c r="D13" i="6"/>
  <c r="E18" i="6"/>
  <c r="G18" i="6" s="1"/>
  <c r="D177" i="6"/>
  <c r="E177" i="6"/>
  <c r="G177" i="6" s="1"/>
  <c r="D3" i="6"/>
  <c r="D19" i="6"/>
  <c r="D81" i="6"/>
  <c r="D191" i="6"/>
  <c r="B67" i="5"/>
  <c r="B69" i="5"/>
  <c r="C58" i="3"/>
  <c r="D51" i="3" s="1"/>
  <c r="D192" i="6"/>
  <c r="E192" i="6"/>
  <c r="G192" i="6" s="1"/>
  <c r="D21" i="6"/>
  <c r="E84" i="6"/>
  <c r="G84" i="6" s="1"/>
  <c r="E125" i="6"/>
  <c r="G125" i="6" s="1"/>
  <c r="E10" i="6"/>
  <c r="G10" i="6" s="1"/>
  <c r="E101" i="6"/>
  <c r="G101" i="6" s="1"/>
  <c r="D52" i="6"/>
  <c r="D60" i="6"/>
  <c r="R180" i="6"/>
  <c r="D194" i="6"/>
  <c r="D130" i="6"/>
  <c r="D143" i="6"/>
  <c r="D112" i="6"/>
  <c r="G8" i="3"/>
  <c r="G7" i="3" s="1"/>
  <c r="T47" i="6" l="1"/>
  <c r="AB31" i="6"/>
  <c r="T179" i="6"/>
  <c r="P31" i="6"/>
  <c r="T20" i="6"/>
  <c r="T45" i="6"/>
  <c r="T92" i="6"/>
  <c r="T98" i="6"/>
  <c r="T36" i="6"/>
  <c r="T183" i="6"/>
  <c r="T76" i="6"/>
  <c r="T153" i="6"/>
  <c r="T40" i="6"/>
  <c r="T111" i="6"/>
  <c r="T152" i="6"/>
  <c r="T77" i="6"/>
  <c r="T90" i="6"/>
  <c r="T55" i="6"/>
  <c r="T164" i="6"/>
  <c r="T177" i="6"/>
  <c r="T74" i="6"/>
  <c r="T103" i="6"/>
  <c r="T7" i="6"/>
  <c r="T58" i="6"/>
  <c r="T97" i="6"/>
  <c r="T80" i="6"/>
  <c r="T134" i="6"/>
  <c r="T4" i="6"/>
  <c r="T18" i="6"/>
  <c r="T79" i="6"/>
  <c r="T161" i="6"/>
  <c r="T57" i="6"/>
  <c r="T127" i="6"/>
  <c r="T167" i="6"/>
  <c r="T19" i="6"/>
  <c r="T26" i="6"/>
  <c r="T140" i="6"/>
  <c r="T176" i="6"/>
  <c r="T125" i="6"/>
  <c r="T32" i="6"/>
  <c r="T30" i="6"/>
  <c r="T60" i="6"/>
  <c r="T157" i="6"/>
  <c r="T35" i="6"/>
  <c r="T197" i="6"/>
  <c r="T121" i="6"/>
  <c r="T174" i="6"/>
  <c r="AB174" i="6" s="1"/>
  <c r="T24" i="6"/>
  <c r="T96" i="6"/>
  <c r="T78" i="6"/>
  <c r="T41" i="6"/>
  <c r="T180" i="6"/>
  <c r="AB180" i="6" s="1"/>
  <c r="T70" i="6"/>
  <c r="T137" i="6"/>
  <c r="T119" i="6"/>
  <c r="T68" i="6"/>
  <c r="T67" i="6"/>
  <c r="T102" i="6"/>
  <c r="T170" i="6"/>
  <c r="T25" i="6"/>
  <c r="AB25" i="6" s="1"/>
  <c r="T129" i="6"/>
  <c r="T61" i="6"/>
  <c r="T71" i="6"/>
  <c r="T16" i="6"/>
  <c r="T166" i="6"/>
  <c r="T10" i="6"/>
  <c r="T148" i="6"/>
  <c r="T53" i="6"/>
  <c r="T94" i="6"/>
  <c r="T22" i="6"/>
  <c r="T44" i="6"/>
  <c r="T188" i="6"/>
  <c r="T190" i="6"/>
  <c r="T200" i="6"/>
  <c r="T49" i="6"/>
  <c r="T105" i="6"/>
  <c r="T3" i="6"/>
  <c r="T118" i="6"/>
  <c r="T46" i="6"/>
  <c r="T93" i="6"/>
  <c r="T169" i="6"/>
  <c r="AB169" i="6" s="1"/>
  <c r="T15" i="6"/>
  <c r="T163" i="6"/>
  <c r="T99" i="6"/>
  <c r="T81" i="6"/>
  <c r="T155" i="6"/>
  <c r="T21" i="6"/>
  <c r="T139" i="6"/>
  <c r="T51" i="6"/>
  <c r="T95" i="6"/>
  <c r="T13" i="6"/>
  <c r="T149" i="6"/>
  <c r="T101" i="6"/>
  <c r="T116" i="6"/>
  <c r="T66" i="6"/>
  <c r="T104" i="6"/>
  <c r="T115" i="6"/>
  <c r="T187" i="6"/>
  <c r="T128" i="6"/>
  <c r="T154" i="6"/>
  <c r="T114" i="6"/>
  <c r="T82" i="6"/>
  <c r="T8" i="6"/>
  <c r="T91" i="6"/>
  <c r="T171" i="6"/>
  <c r="T48" i="6"/>
  <c r="T130" i="6"/>
  <c r="T42" i="6"/>
  <c r="T56" i="6"/>
  <c r="T5" i="6"/>
  <c r="T150" i="6"/>
  <c r="T37" i="6"/>
  <c r="T133" i="6"/>
  <c r="T83" i="6"/>
  <c r="T9" i="6"/>
  <c r="T112" i="6"/>
  <c r="T126" i="6"/>
  <c r="T156" i="6"/>
  <c r="T185" i="6"/>
  <c r="T131" i="6"/>
  <c r="T85" i="6"/>
  <c r="T108" i="6"/>
  <c r="T89" i="6"/>
  <c r="T65" i="6"/>
  <c r="T136" i="6"/>
  <c r="T64" i="6"/>
  <c r="T158" i="6"/>
  <c r="T43" i="6"/>
  <c r="T173" i="6"/>
  <c r="T191" i="6"/>
  <c r="T12" i="6"/>
  <c r="T151" i="6"/>
  <c r="T34" i="6"/>
  <c r="T178" i="6"/>
  <c r="T2" i="6"/>
  <c r="T84" i="6"/>
  <c r="T28" i="6"/>
  <c r="T38" i="6"/>
  <c r="T146" i="6"/>
  <c r="T120" i="6"/>
  <c r="T59" i="6"/>
  <c r="T138" i="6"/>
  <c r="T175" i="6"/>
  <c r="T132" i="6"/>
  <c r="T194" i="6"/>
  <c r="T11" i="6"/>
  <c r="AB11" i="6" s="1"/>
  <c r="T50" i="6"/>
  <c r="T122" i="6"/>
  <c r="T113" i="6"/>
  <c r="T141" i="6"/>
  <c r="T145" i="6"/>
  <c r="T110" i="6"/>
  <c r="T195" i="6"/>
  <c r="T162" i="6"/>
  <c r="T88" i="6"/>
  <c r="T147" i="6"/>
  <c r="T199" i="6"/>
  <c r="T29" i="6"/>
  <c r="T106" i="6"/>
  <c r="T87" i="6"/>
  <c r="T27" i="6"/>
  <c r="T184" i="6"/>
  <c r="T192" i="6"/>
  <c r="T86" i="6"/>
  <c r="T100" i="6"/>
  <c r="T14" i="6"/>
  <c r="T198" i="6"/>
  <c r="T72" i="6"/>
  <c r="T189" i="6"/>
  <c r="T172" i="6"/>
  <c r="T63" i="6"/>
  <c r="T6" i="6"/>
  <c r="T168" i="6"/>
  <c r="T75" i="6"/>
  <c r="T17" i="6"/>
  <c r="T181" i="6"/>
  <c r="T124" i="6"/>
  <c r="T23" i="6"/>
  <c r="T117" i="6"/>
  <c r="T142" i="6"/>
  <c r="T52" i="6"/>
  <c r="T160" i="6"/>
  <c r="E56" i="6"/>
  <c r="G56" i="6" s="1"/>
  <c r="E147" i="6"/>
  <c r="G147" i="6" s="1"/>
  <c r="R196" i="6"/>
  <c r="R165" i="6"/>
  <c r="AB165" i="6" s="1"/>
  <c r="E175" i="6"/>
  <c r="G175" i="6" s="1"/>
  <c r="E45" i="6"/>
  <c r="G45" i="6" s="1"/>
  <c r="R121" i="6"/>
  <c r="E160" i="6"/>
  <c r="G160" i="6" s="1"/>
  <c r="R73" i="6"/>
  <c r="AB73" i="6" s="1"/>
  <c r="E168" i="6"/>
  <c r="G168" i="6" s="1"/>
  <c r="E75" i="6"/>
  <c r="G75" i="6" s="1"/>
  <c r="E181" i="6"/>
  <c r="G181" i="6" s="1"/>
  <c r="E179" i="6"/>
  <c r="G179" i="6" s="1"/>
  <c r="E87" i="6"/>
  <c r="G87" i="6" s="1"/>
  <c r="R20" i="6"/>
  <c r="E74" i="6"/>
  <c r="G74" i="6" s="1"/>
  <c r="E132" i="6"/>
  <c r="G132" i="6" s="1"/>
  <c r="R88" i="6"/>
  <c r="E100" i="6"/>
  <c r="G100" i="6" s="1"/>
  <c r="R53" i="6"/>
  <c r="AB53" i="6" s="1"/>
  <c r="AB159" i="6"/>
  <c r="E139" i="6"/>
  <c r="G139" i="6" s="1"/>
  <c r="E138" i="6"/>
  <c r="G138" i="6" s="1"/>
  <c r="E117" i="6"/>
  <c r="G117" i="6" s="1"/>
  <c r="E185" i="6"/>
  <c r="G185" i="6" s="1"/>
  <c r="E8" i="6"/>
  <c r="G8" i="6" s="1"/>
  <c r="E150" i="6"/>
  <c r="G150" i="6" s="1"/>
  <c r="E96" i="6"/>
  <c r="G96" i="6" s="1"/>
  <c r="E102" i="6"/>
  <c r="G102" i="6" s="1"/>
  <c r="R90" i="6"/>
  <c r="AB90" i="6" s="1"/>
  <c r="R75" i="6"/>
  <c r="E156" i="6"/>
  <c r="G156" i="6" s="1"/>
  <c r="E76" i="6"/>
  <c r="G76" i="6" s="1"/>
  <c r="R145" i="6"/>
  <c r="E119" i="6"/>
  <c r="G119" i="6" s="1"/>
  <c r="R110" i="6"/>
  <c r="R98" i="6"/>
  <c r="B84" i="5"/>
  <c r="B85" i="5" s="1"/>
  <c r="G13" i="3"/>
  <c r="C50" i="6"/>
  <c r="R109" i="6"/>
  <c r="AB109" i="6" s="1"/>
  <c r="E145" i="6"/>
  <c r="G145" i="6" s="1"/>
  <c r="E41" i="6"/>
  <c r="G41" i="6" s="1"/>
  <c r="E48" i="6"/>
  <c r="G48" i="6" s="1"/>
  <c r="E43" i="6"/>
  <c r="G43" i="6" s="1"/>
  <c r="E128" i="6"/>
  <c r="G128" i="6" s="1"/>
  <c r="E104" i="6"/>
  <c r="G104" i="6" s="1"/>
  <c r="E37" i="6"/>
  <c r="G37" i="6" s="1"/>
  <c r="R152" i="6"/>
  <c r="E50" i="6"/>
  <c r="G50" i="6" s="1"/>
  <c r="R177" i="6"/>
  <c r="R7" i="6"/>
  <c r="R4" i="6"/>
  <c r="R74" i="6"/>
  <c r="AB74" i="6" s="1"/>
  <c r="R161" i="6"/>
  <c r="R30" i="6"/>
  <c r="AB30" i="6" s="1"/>
  <c r="E24" i="6"/>
  <c r="G24" i="6" s="1"/>
  <c r="R55" i="6"/>
  <c r="AB55" i="6" s="1"/>
  <c r="E199" i="6"/>
  <c r="G199" i="6" s="1"/>
  <c r="E113" i="6"/>
  <c r="G113" i="6" s="1"/>
  <c r="R66" i="6"/>
  <c r="R119" i="6"/>
  <c r="R187" i="6"/>
  <c r="E54" i="6"/>
  <c r="G54" i="6" s="1"/>
  <c r="R158" i="6"/>
  <c r="E109" i="6"/>
  <c r="G109" i="6" s="1"/>
  <c r="E124" i="6"/>
  <c r="G124" i="6" s="1"/>
  <c r="E47" i="6"/>
  <c r="G47" i="6" s="1"/>
  <c r="E116" i="6"/>
  <c r="G116" i="6" s="1"/>
  <c r="E162" i="6"/>
  <c r="G162" i="6" s="1"/>
  <c r="R162" i="6"/>
  <c r="AB162" i="6" s="1"/>
  <c r="E40" i="6"/>
  <c r="G40" i="6" s="1"/>
  <c r="E97" i="6"/>
  <c r="G97" i="6" s="1"/>
  <c r="E71" i="6"/>
  <c r="G71" i="6" s="1"/>
  <c r="R117" i="6"/>
  <c r="R159" i="6"/>
  <c r="E85" i="6"/>
  <c r="G85" i="6" s="1"/>
  <c r="E164" i="6"/>
  <c r="G164" i="6" s="1"/>
  <c r="R140" i="6"/>
  <c r="AB140" i="6" s="1"/>
  <c r="E184" i="6"/>
  <c r="G184" i="6" s="1"/>
  <c r="E129" i="6"/>
  <c r="G129" i="6" s="1"/>
  <c r="R129" i="6"/>
  <c r="E69" i="6"/>
  <c r="E154" i="6"/>
  <c r="G154" i="6" s="1"/>
  <c r="R186" i="6"/>
  <c r="AB186" i="6" s="1"/>
  <c r="E195" i="6"/>
  <c r="G195" i="6" s="1"/>
  <c r="E173" i="6"/>
  <c r="G173" i="6" s="1"/>
  <c r="E133" i="6"/>
  <c r="G133" i="6" s="1"/>
  <c r="E16" i="6"/>
  <c r="G16" i="6" s="1"/>
  <c r="E189" i="6"/>
  <c r="G189" i="6" s="1"/>
  <c r="E30" i="6"/>
  <c r="G30" i="6" s="1"/>
  <c r="AB196" i="6"/>
  <c r="E60" i="6"/>
  <c r="G60" i="6" s="1"/>
  <c r="E9" i="6"/>
  <c r="G9" i="6" s="1"/>
  <c r="R22" i="6"/>
  <c r="R15" i="6"/>
  <c r="AB15" i="6" s="1"/>
  <c r="E65" i="6"/>
  <c r="G65" i="6" s="1"/>
  <c r="E112" i="6"/>
  <c r="G112" i="6" s="1"/>
  <c r="R92" i="6"/>
  <c r="E64" i="6"/>
  <c r="G64" i="6" s="1"/>
  <c r="E143" i="6"/>
  <c r="G143" i="6" s="1"/>
  <c r="R33" i="6"/>
  <c r="AB33" i="6" s="1"/>
  <c r="E32" i="6"/>
  <c r="G32" i="6" s="1"/>
  <c r="E77" i="6"/>
  <c r="G77" i="6" s="1"/>
  <c r="E157" i="6"/>
  <c r="G157" i="6" s="1"/>
  <c r="R172" i="6"/>
  <c r="AB172" i="6" s="1"/>
  <c r="E90" i="6"/>
  <c r="G90" i="6" s="1"/>
  <c r="E131" i="6"/>
  <c r="G131" i="6" s="1"/>
  <c r="E94" i="6"/>
  <c r="G94" i="6" s="1"/>
  <c r="E89" i="6"/>
  <c r="G89" i="6" s="1"/>
  <c r="E115" i="6"/>
  <c r="G115" i="6" s="1"/>
  <c r="E172" i="6"/>
  <c r="G172" i="6" s="1"/>
  <c r="E188" i="6"/>
  <c r="G188" i="6" s="1"/>
  <c r="E126" i="6"/>
  <c r="G126" i="6" s="1"/>
  <c r="R118" i="6"/>
  <c r="E59" i="6"/>
  <c r="G59" i="6" s="1"/>
  <c r="E58" i="6"/>
  <c r="G58" i="6" s="1"/>
  <c r="R80" i="6"/>
  <c r="R160" i="6"/>
  <c r="E136" i="6"/>
  <c r="E13" i="6"/>
  <c r="G13" i="6" s="1"/>
  <c r="R154" i="6"/>
  <c r="E137" i="6"/>
  <c r="G137" i="6" s="1"/>
  <c r="E114" i="6"/>
  <c r="G114" i="6" s="1"/>
  <c r="R42" i="6"/>
  <c r="E52" i="6"/>
  <c r="G52" i="6" s="1"/>
  <c r="C24" i="6"/>
  <c r="H51" i="3"/>
  <c r="E17" i="6"/>
  <c r="G17" i="6" s="1"/>
  <c r="R191" i="6"/>
  <c r="E142" i="6"/>
  <c r="G142" i="6" s="1"/>
  <c r="R99" i="6"/>
  <c r="AB99" i="6" s="1"/>
  <c r="E153" i="6"/>
  <c r="G153" i="6" s="1"/>
  <c r="E198" i="6"/>
  <c r="G198" i="6" s="1"/>
  <c r="R44" i="6"/>
  <c r="E42" i="6"/>
  <c r="G42" i="6" s="1"/>
  <c r="R183" i="6"/>
  <c r="E182" i="6"/>
  <c r="G182" i="6" s="1"/>
  <c r="R17" i="6"/>
  <c r="E146" i="6"/>
  <c r="G146" i="6" s="1"/>
  <c r="E80" i="6"/>
  <c r="G80" i="6" s="1"/>
  <c r="E38" i="6"/>
  <c r="G38" i="6" s="1"/>
  <c r="E122" i="6"/>
  <c r="G122" i="6" s="1"/>
  <c r="E29" i="6"/>
  <c r="G29" i="6" s="1"/>
  <c r="E163" i="6"/>
  <c r="G163" i="6" s="1"/>
  <c r="E178" i="6"/>
  <c r="G178" i="6" s="1"/>
  <c r="E152" i="6"/>
  <c r="G152" i="6" s="1"/>
  <c r="E111" i="6"/>
  <c r="G111" i="6" s="1"/>
  <c r="E86" i="6"/>
  <c r="G86" i="6" s="1"/>
  <c r="P11" i="6"/>
  <c r="R94" i="6"/>
  <c r="R155" i="6"/>
  <c r="E39" i="6"/>
  <c r="G39" i="6" s="1"/>
  <c r="E107" i="6"/>
  <c r="G107" i="6" s="1"/>
  <c r="Q50" i="6"/>
  <c r="Q2" i="6"/>
  <c r="Q81" i="6"/>
  <c r="Q74" i="6"/>
  <c r="Q11" i="6"/>
  <c r="Q143" i="6"/>
  <c r="Q46" i="6"/>
  <c r="Q178" i="6"/>
  <c r="Q100" i="6"/>
  <c r="Q5" i="6"/>
  <c r="Q70" i="6"/>
  <c r="Q169" i="6"/>
  <c r="Q200" i="6"/>
  <c r="Q161" i="6"/>
  <c r="Q101" i="6"/>
  <c r="Q144" i="6"/>
  <c r="Q149" i="6"/>
  <c r="Q3" i="6"/>
  <c r="Q75" i="6"/>
  <c r="Q147" i="6"/>
  <c r="Q27" i="6"/>
  <c r="Q154" i="6"/>
  <c r="Q36" i="6"/>
  <c r="Q60" i="6"/>
  <c r="Q157" i="6"/>
  <c r="Q127" i="6"/>
  <c r="Q64" i="6"/>
  <c r="Q151" i="6"/>
  <c r="Q67" i="6"/>
  <c r="Q97" i="6"/>
  <c r="Q159" i="6"/>
  <c r="Q172" i="6"/>
  <c r="Q113" i="6"/>
  <c r="Q55" i="6"/>
  <c r="Q133" i="6"/>
  <c r="Q114" i="6"/>
  <c r="Q135" i="6"/>
  <c r="Q86" i="6"/>
  <c r="Q72" i="6"/>
  <c r="Q195" i="6"/>
  <c r="Q155" i="6"/>
  <c r="Q145" i="6"/>
  <c r="Q54" i="6"/>
  <c r="Q124" i="6"/>
  <c r="Q9" i="6"/>
  <c r="Q163" i="6"/>
  <c r="Q156" i="6"/>
  <c r="Q71" i="6"/>
  <c r="Q94" i="6"/>
  <c r="Q153" i="6"/>
  <c r="Q90" i="6"/>
  <c r="Q23" i="6"/>
  <c r="Q106" i="6"/>
  <c r="Q62" i="6"/>
  <c r="Q196" i="6"/>
  <c r="Q6" i="6"/>
  <c r="Q21" i="6"/>
  <c r="Q152" i="6"/>
  <c r="Q73" i="6"/>
  <c r="Q123" i="6"/>
  <c r="Q61" i="6"/>
  <c r="Q176" i="6"/>
  <c r="Q108" i="6"/>
  <c r="Q183" i="6"/>
  <c r="Q111" i="6"/>
  <c r="Q79" i="6"/>
  <c r="Q39" i="6"/>
  <c r="Q10" i="6"/>
  <c r="Q35" i="6"/>
  <c r="Q51" i="6"/>
  <c r="Q41" i="6"/>
  <c r="Q139" i="6"/>
  <c r="Q68" i="6"/>
  <c r="Q173" i="6"/>
  <c r="Q142" i="6"/>
  <c r="Q136" i="6"/>
  <c r="Q31" i="6"/>
  <c r="Q52" i="6"/>
  <c r="Q126" i="6"/>
  <c r="Q118" i="6"/>
  <c r="Q59" i="6"/>
  <c r="Q78" i="6"/>
  <c r="Q148" i="6"/>
  <c r="Q63" i="6"/>
  <c r="Q16" i="6"/>
  <c r="Q170" i="6"/>
  <c r="Q130" i="6"/>
  <c r="Q199" i="6"/>
  <c r="Q168" i="6"/>
  <c r="Q185" i="6"/>
  <c r="Q182" i="6"/>
  <c r="Q12" i="6"/>
  <c r="Q115" i="6"/>
  <c r="Q174" i="6"/>
  <c r="Q49" i="6"/>
  <c r="Q14" i="6"/>
  <c r="Q146" i="6"/>
  <c r="Q24" i="6"/>
  <c r="Q134" i="6"/>
  <c r="Q137" i="6"/>
  <c r="Q58" i="6"/>
  <c r="Q141" i="6"/>
  <c r="Q132" i="6"/>
  <c r="Q8" i="6"/>
  <c r="Q180" i="6"/>
  <c r="Q192" i="6"/>
  <c r="Q177" i="6"/>
  <c r="Q193" i="6"/>
  <c r="Q88" i="6"/>
  <c r="Q43" i="6"/>
  <c r="Q191" i="6"/>
  <c r="Q85" i="6"/>
  <c r="Q30" i="6"/>
  <c r="Q95" i="6"/>
  <c r="Q28" i="6"/>
  <c r="Q160" i="6"/>
  <c r="Q15" i="6"/>
  <c r="Q87" i="6"/>
  <c r="Q98" i="6"/>
  <c r="Q96" i="6"/>
  <c r="Q122" i="6"/>
  <c r="Q42" i="6"/>
  <c r="Q33" i="6"/>
  <c r="Q187" i="6"/>
  <c r="Q150" i="6"/>
  <c r="Q92" i="6"/>
  <c r="Q190" i="6"/>
  <c r="Q194" i="6"/>
  <c r="Q167" i="6"/>
  <c r="Q120" i="6"/>
  <c r="Q13" i="6"/>
  <c r="Q80" i="6"/>
  <c r="Q76" i="6"/>
  <c r="Q56" i="6"/>
  <c r="Q99" i="6"/>
  <c r="Q57" i="6"/>
  <c r="Q107" i="6"/>
  <c r="Q22" i="6"/>
  <c r="Q44" i="6"/>
  <c r="Q66" i="6"/>
  <c r="Q162" i="6"/>
  <c r="Q19" i="6"/>
  <c r="Q119" i="6"/>
  <c r="Q171" i="6"/>
  <c r="Q140" i="6"/>
  <c r="Q37" i="6"/>
  <c r="Q65" i="6"/>
  <c r="Q158" i="6"/>
  <c r="Q165" i="6"/>
  <c r="Q91" i="6"/>
  <c r="Q45" i="6"/>
  <c r="Q186" i="6"/>
  <c r="Q26" i="6"/>
  <c r="Q102" i="6"/>
  <c r="Q93" i="6"/>
  <c r="Q128" i="6"/>
  <c r="Q131" i="6"/>
  <c r="Q110" i="6"/>
  <c r="Q121" i="6"/>
  <c r="Q138" i="6"/>
  <c r="Q48" i="6"/>
  <c r="Q34" i="6"/>
  <c r="Q7" i="6"/>
  <c r="Q116" i="6"/>
  <c r="Q103" i="6"/>
  <c r="Q175" i="6"/>
  <c r="Q184" i="6"/>
  <c r="Q164" i="6"/>
  <c r="Q109" i="6"/>
  <c r="Q29" i="6"/>
  <c r="Q77" i="6"/>
  <c r="Q89" i="6"/>
  <c r="Q188" i="6"/>
  <c r="Q197" i="6"/>
  <c r="Q25" i="6"/>
  <c r="Q129" i="6"/>
  <c r="Q18" i="6"/>
  <c r="Q198" i="6"/>
  <c r="Q82" i="6"/>
  <c r="Q117" i="6"/>
  <c r="Q32" i="6"/>
  <c r="Q83" i="6"/>
  <c r="Q125" i="6"/>
  <c r="Q69" i="6"/>
  <c r="Q189" i="6"/>
  <c r="Q181" i="6"/>
  <c r="Q47" i="6"/>
  <c r="Q40" i="6"/>
  <c r="Q20" i="6"/>
  <c r="Q112" i="6"/>
  <c r="Q53" i="6"/>
  <c r="Q104" i="6"/>
  <c r="Q105" i="6"/>
  <c r="Q17" i="6"/>
  <c r="Q179" i="6"/>
  <c r="Q38" i="6"/>
  <c r="Q166" i="6"/>
  <c r="Q84" i="6"/>
  <c r="Q4" i="6"/>
  <c r="R12" i="6"/>
  <c r="E66" i="6"/>
  <c r="G66" i="6" s="1"/>
  <c r="E103" i="6"/>
  <c r="G103" i="6" s="1"/>
  <c r="E61" i="6"/>
  <c r="G61" i="6" s="1"/>
  <c r="E99" i="6"/>
  <c r="G99" i="6" s="1"/>
  <c r="E170" i="6"/>
  <c r="G170" i="6" s="1"/>
  <c r="E144" i="6"/>
  <c r="G144" i="6" s="1"/>
  <c r="E51" i="6"/>
  <c r="G51" i="6" s="1"/>
  <c r="S3" i="4"/>
  <c r="B70" i="5"/>
  <c r="S4" i="4"/>
  <c r="B68" i="5"/>
  <c r="C36" i="6"/>
  <c r="E130" i="6"/>
  <c r="G130" i="6" s="1"/>
  <c r="E191" i="6"/>
  <c r="G191" i="6" s="1"/>
  <c r="R28" i="6"/>
  <c r="AB28" i="6" s="1"/>
  <c r="E183" i="6"/>
  <c r="G183" i="6" s="1"/>
  <c r="E81" i="6"/>
  <c r="G81" i="6" s="1"/>
  <c r="R164" i="6"/>
  <c r="AB164" i="6" s="1"/>
  <c r="E35" i="6"/>
  <c r="G35" i="6" s="1"/>
  <c r="R27" i="6"/>
  <c r="AB27" i="6" s="1"/>
  <c r="E106" i="6"/>
  <c r="G106" i="6" s="1"/>
  <c r="E49" i="6"/>
  <c r="G49" i="6" s="1"/>
  <c r="E93" i="6"/>
  <c r="G93" i="6" s="1"/>
  <c r="E2" i="6"/>
  <c r="G2" i="6" s="1"/>
  <c r="E78" i="6"/>
  <c r="G78" i="6" s="1"/>
  <c r="E22" i="6"/>
  <c r="G22" i="6" s="1"/>
  <c r="E70" i="6"/>
  <c r="G70" i="6" s="1"/>
  <c r="E20" i="6"/>
  <c r="G20" i="6" s="1"/>
  <c r="E149" i="6"/>
  <c r="G149" i="6" s="1"/>
  <c r="R14" i="6"/>
  <c r="R189" i="6"/>
  <c r="AB189" i="6" s="1"/>
  <c r="R115" i="6"/>
  <c r="AB115" i="6" s="1"/>
  <c r="R60" i="6"/>
  <c r="R51" i="6"/>
  <c r="AB51" i="6" s="1"/>
  <c r="R71" i="6"/>
  <c r="R38" i="6"/>
  <c r="AB38" i="6" s="1"/>
  <c r="R126" i="6"/>
  <c r="AB126" i="6" s="1"/>
  <c r="R48" i="6"/>
  <c r="AB48" i="6" s="1"/>
  <c r="R125" i="6"/>
  <c r="AB125" i="6" s="1"/>
  <c r="R18" i="6"/>
  <c r="R181" i="6"/>
  <c r="R83" i="6"/>
  <c r="AB83" i="6" s="1"/>
  <c r="R200" i="6"/>
  <c r="R39" i="6"/>
  <c r="AB39" i="6" s="1"/>
  <c r="R61" i="6"/>
  <c r="R144" i="6"/>
  <c r="AB144" i="6" s="1"/>
  <c r="R185" i="6"/>
  <c r="AB185" i="6" s="1"/>
  <c r="R188" i="6"/>
  <c r="AB188" i="6" s="1"/>
  <c r="R116" i="6"/>
  <c r="R10" i="6"/>
  <c r="AB10" i="6" s="1"/>
  <c r="R150" i="6"/>
  <c r="R108" i="6"/>
  <c r="R54" i="6"/>
  <c r="AB54" i="6" s="1"/>
  <c r="R179" i="6"/>
  <c r="AB179" i="6" s="1"/>
  <c r="R143" i="6"/>
  <c r="AB143" i="6" s="1"/>
  <c r="R148" i="6"/>
  <c r="AB148" i="6" s="1"/>
  <c r="R106" i="6"/>
  <c r="R34" i="6"/>
  <c r="R199" i="6"/>
  <c r="R176" i="6"/>
  <c r="R102" i="6"/>
  <c r="R131" i="6"/>
  <c r="AB131" i="6" s="1"/>
  <c r="R167" i="6"/>
  <c r="AB167" i="6" s="1"/>
  <c r="R96" i="6"/>
  <c r="AB96" i="6" s="1"/>
  <c r="R67" i="6"/>
  <c r="AB67" i="6" s="1"/>
  <c r="R6" i="6"/>
  <c r="R147" i="6"/>
  <c r="R77" i="6"/>
  <c r="R13" i="6"/>
  <c r="AB13" i="6" s="1"/>
  <c r="R2" i="6"/>
  <c r="R46" i="6"/>
  <c r="AB46" i="6" s="1"/>
  <c r="R120" i="6"/>
  <c r="AB120" i="6" s="1"/>
  <c r="R59" i="6"/>
  <c r="R122" i="6"/>
  <c r="R70" i="6"/>
  <c r="R82" i="6"/>
  <c r="R101" i="6"/>
  <c r="R52" i="6"/>
  <c r="R57" i="6"/>
  <c r="R171" i="6"/>
  <c r="AB171" i="6" s="1"/>
  <c r="R128" i="6"/>
  <c r="R137" i="6"/>
  <c r="R178" i="6"/>
  <c r="R5" i="6"/>
  <c r="R198" i="6"/>
  <c r="R24" i="6"/>
  <c r="R132" i="6"/>
  <c r="R68" i="6"/>
  <c r="AB68" i="6" s="1"/>
  <c r="R192" i="6"/>
  <c r="R86" i="6"/>
  <c r="R40" i="6"/>
  <c r="R41" i="6"/>
  <c r="R156" i="6"/>
  <c r="R93" i="6"/>
  <c r="R153" i="6"/>
  <c r="R107" i="6"/>
  <c r="AB107" i="6" s="1"/>
  <c r="R32" i="6"/>
  <c r="R142" i="6"/>
  <c r="R87" i="6"/>
  <c r="R69" i="6"/>
  <c r="AB69" i="6" s="1"/>
  <c r="R26" i="6"/>
  <c r="AB26" i="6" s="1"/>
  <c r="R113" i="6"/>
  <c r="AB113" i="6" s="1"/>
  <c r="R193" i="6"/>
  <c r="AB193" i="6" s="1"/>
  <c r="R76" i="6"/>
  <c r="AB76" i="6" s="1"/>
  <c r="R79" i="6"/>
  <c r="R62" i="6"/>
  <c r="AB62" i="6" s="1"/>
  <c r="R64" i="6"/>
  <c r="R190" i="6"/>
  <c r="AB190" i="6" s="1"/>
  <c r="R36" i="6"/>
  <c r="AB36" i="6" s="1"/>
  <c r="R175" i="6"/>
  <c r="R134" i="6"/>
  <c r="AB134" i="6" s="1"/>
  <c r="R37" i="6"/>
  <c r="R173" i="6"/>
  <c r="AB173" i="6" s="1"/>
  <c r="R8" i="6"/>
  <c r="R168" i="6"/>
  <c r="R111" i="6"/>
  <c r="R163" i="6"/>
  <c r="AB163" i="6" s="1"/>
  <c r="R114" i="6"/>
  <c r="AB114" i="6" s="1"/>
  <c r="R127" i="6"/>
  <c r="AB127" i="6" s="1"/>
  <c r="R3" i="6"/>
  <c r="R133" i="6"/>
  <c r="AB133" i="6" s="1"/>
  <c r="R151" i="6"/>
  <c r="R85" i="6"/>
  <c r="AB85" i="6" s="1"/>
  <c r="R100" i="6"/>
  <c r="R29" i="6"/>
  <c r="R58" i="6"/>
  <c r="AB58" i="6" s="1"/>
  <c r="R195" i="6"/>
  <c r="AB195" i="6" s="1"/>
  <c r="R16" i="6"/>
  <c r="R43" i="6"/>
  <c r="R166" i="6"/>
  <c r="AB166" i="6" s="1"/>
  <c r="R97" i="6"/>
  <c r="AB97" i="6" s="1"/>
  <c r="R130" i="6"/>
  <c r="R81" i="6"/>
  <c r="AB81" i="6" s="1"/>
  <c r="R170" i="6"/>
  <c r="AB170" i="6" s="1"/>
  <c r="P13" i="6"/>
  <c r="R63" i="6"/>
  <c r="AB63" i="6" s="1"/>
  <c r="R19" i="6"/>
  <c r="R47" i="6"/>
  <c r="AB47" i="6" s="1"/>
  <c r="R91" i="6"/>
  <c r="R89" i="6"/>
  <c r="R35" i="6"/>
  <c r="R197" i="6"/>
  <c r="R78" i="6"/>
  <c r="AB78" i="6" s="1"/>
  <c r="R65" i="6"/>
  <c r="R9" i="6"/>
  <c r="R139" i="6"/>
  <c r="R123" i="6"/>
  <c r="AB123" i="6" s="1"/>
  <c r="R50" i="6"/>
  <c r="AB50" i="6" s="1"/>
  <c r="R84" i="6"/>
  <c r="AB84" i="6" s="1"/>
  <c r="R182" i="6"/>
  <c r="AB182" i="6" s="1"/>
  <c r="R157" i="6"/>
  <c r="AB157" i="6" s="1"/>
  <c r="R149" i="6"/>
  <c r="AB149" i="6" s="1"/>
  <c r="R146" i="6"/>
  <c r="R112" i="6"/>
  <c r="R103" i="6"/>
  <c r="R56" i="6"/>
  <c r="R184" i="6"/>
  <c r="R104" i="6"/>
  <c r="R124" i="6"/>
  <c r="AB124" i="6" s="1"/>
  <c r="R138" i="6"/>
  <c r="R21" i="6"/>
  <c r="E7" i="6"/>
  <c r="G7" i="6" s="1"/>
  <c r="E165" i="6"/>
  <c r="G165" i="6" s="1"/>
  <c r="E151" i="6"/>
  <c r="G151" i="6" s="1"/>
  <c r="R45" i="6"/>
  <c r="AB45" i="6" s="1"/>
  <c r="E83" i="6"/>
  <c r="G83" i="6" s="1"/>
  <c r="E196" i="6"/>
  <c r="G196" i="6" s="1"/>
  <c r="R135" i="6"/>
  <c r="AB135" i="6" s="1"/>
  <c r="E28" i="6"/>
  <c r="G28" i="6" s="1"/>
  <c r="E200" i="6"/>
  <c r="G200" i="6" s="1"/>
  <c r="E135" i="6"/>
  <c r="G135" i="6" s="1"/>
  <c r="E98" i="6"/>
  <c r="G98" i="6" s="1"/>
  <c r="E194" i="6"/>
  <c r="G194" i="6" s="1"/>
  <c r="E193" i="6"/>
  <c r="G193" i="6" s="1"/>
  <c r="E19" i="6"/>
  <c r="G19" i="6" s="1"/>
  <c r="E120" i="6"/>
  <c r="G120" i="6" s="1"/>
  <c r="R136" i="6"/>
  <c r="E27" i="6"/>
  <c r="G27" i="6" s="1"/>
  <c r="R105" i="6"/>
  <c r="R49" i="6"/>
  <c r="AB49" i="6" s="1"/>
  <c r="R95" i="6"/>
  <c r="E67" i="6"/>
  <c r="G67" i="6" s="1"/>
  <c r="E14" i="6"/>
  <c r="G14" i="6" s="1"/>
  <c r="E12" i="6"/>
  <c r="G12" i="6" s="1"/>
  <c r="E5" i="6"/>
  <c r="E6" i="6"/>
  <c r="G6" i="6" s="1"/>
  <c r="E180" i="6"/>
  <c r="G180" i="6" s="1"/>
  <c r="E57" i="6"/>
  <c r="G57" i="6" s="1"/>
  <c r="E21" i="6"/>
  <c r="G21" i="6" s="1"/>
  <c r="R141" i="6"/>
  <c r="AB141" i="6" s="1"/>
  <c r="E36" i="6"/>
  <c r="G36" i="6" s="1"/>
  <c r="R23" i="6"/>
  <c r="E34" i="6"/>
  <c r="G34" i="6" s="1"/>
  <c r="E176" i="6"/>
  <c r="G176" i="6" s="1"/>
  <c r="R194" i="6"/>
  <c r="AB194" i="6" s="1"/>
  <c r="E3" i="6"/>
  <c r="G3" i="6" s="1"/>
  <c r="E171" i="6"/>
  <c r="G171" i="6" s="1"/>
  <c r="R72" i="6"/>
  <c r="AB72" i="6" s="1"/>
  <c r="E118" i="6"/>
  <c r="G118" i="6" s="1"/>
  <c r="E46" i="6"/>
  <c r="G46" i="6" s="1"/>
  <c r="E108" i="6"/>
  <c r="G108" i="6" s="1"/>
  <c r="E190" i="6"/>
  <c r="G190" i="6" s="1"/>
  <c r="E26" i="6"/>
  <c r="G26" i="6" s="1"/>
  <c r="E121" i="6"/>
  <c r="G121" i="6" s="1"/>
  <c r="E166" i="6"/>
  <c r="G166" i="6" s="1"/>
  <c r="AB80" i="6" l="1"/>
  <c r="AB108" i="6"/>
  <c r="AB24" i="6"/>
  <c r="AB77" i="6"/>
  <c r="AB98" i="6"/>
  <c r="AB87" i="6"/>
  <c r="AB139" i="6"/>
  <c r="AB43" i="6"/>
  <c r="AB32" i="6"/>
  <c r="AB37" i="6"/>
  <c r="AB57" i="6"/>
  <c r="AB16" i="6"/>
  <c r="AB132" i="6"/>
  <c r="AB91" i="6"/>
  <c r="AB104" i="6"/>
  <c r="AB93" i="6"/>
  <c r="AB181" i="6"/>
  <c r="AB198" i="6"/>
  <c r="AB105" i="6"/>
  <c r="AB150" i="6"/>
  <c r="AB71" i="6"/>
  <c r="AB44" i="6"/>
  <c r="AB161" i="6"/>
  <c r="AB121" i="6"/>
  <c r="AB8" i="6"/>
  <c r="AB7" i="6"/>
  <c r="AB21" i="6"/>
  <c r="AB92" i="6"/>
  <c r="AB2" i="6"/>
  <c r="AB23" i="6"/>
  <c r="AB191" i="6"/>
  <c r="AB145" i="6"/>
  <c r="AB88" i="6"/>
  <c r="AB22" i="6"/>
  <c r="AB187" i="6"/>
  <c r="AB152" i="6"/>
  <c r="AB175" i="6"/>
  <c r="AB184" i="6"/>
  <c r="AB119" i="6"/>
  <c r="AB158" i="6"/>
  <c r="AB66" i="6"/>
  <c r="AB106" i="6"/>
  <c r="AB17" i="6"/>
  <c r="AB3" i="6"/>
  <c r="AB18" i="6"/>
  <c r="AB130" i="6"/>
  <c r="AB168" i="6"/>
  <c r="AB129" i="6"/>
  <c r="AB20" i="6"/>
  <c r="AB160" i="6"/>
  <c r="AB111" i="6"/>
  <c r="AB75" i="6"/>
  <c r="AB137" i="6"/>
  <c r="AB136" i="6"/>
  <c r="AA80" i="6"/>
  <c r="AB5" i="6"/>
  <c r="AB178" i="6"/>
  <c r="AB147" i="6"/>
  <c r="AB142" i="6"/>
  <c r="AB6" i="6"/>
  <c r="AB9" i="6"/>
  <c r="AB128" i="6"/>
  <c r="AB116" i="6"/>
  <c r="AB60" i="6"/>
  <c r="AB118" i="6"/>
  <c r="AB14" i="6"/>
  <c r="S80" i="6"/>
  <c r="S39" i="6"/>
  <c r="AA39" i="6" s="1"/>
  <c r="S93" i="6"/>
  <c r="AA93" i="6" s="1"/>
  <c r="S186" i="6"/>
  <c r="S61" i="6"/>
  <c r="AA61" i="6" s="1"/>
  <c r="S27" i="6"/>
  <c r="AA27" i="6" s="1"/>
  <c r="S122" i="6"/>
  <c r="AA122" i="6" s="1"/>
  <c r="S71" i="6"/>
  <c r="AA71" i="6" s="1"/>
  <c r="S92" i="6"/>
  <c r="AA92" i="6" s="1"/>
  <c r="S67" i="6"/>
  <c r="AA67" i="6" s="1"/>
  <c r="S19" i="6"/>
  <c r="AA19" i="6" s="1"/>
  <c r="S90" i="6"/>
  <c r="AA90" i="6" s="1"/>
  <c r="S132" i="6"/>
  <c r="AA132" i="6" s="1"/>
  <c r="S79" i="6"/>
  <c r="AA79" i="6" s="1"/>
  <c r="S4" i="6"/>
  <c r="AA4" i="6" s="1"/>
  <c r="S200" i="6"/>
  <c r="AA200" i="6" s="1"/>
  <c r="S57" i="6"/>
  <c r="S15" i="6"/>
  <c r="S42" i="6"/>
  <c r="S173" i="6"/>
  <c r="S88" i="6"/>
  <c r="AA88" i="6" s="1"/>
  <c r="S108" i="6"/>
  <c r="AA108" i="6" s="1"/>
  <c r="S171" i="6"/>
  <c r="AA171" i="6" s="1"/>
  <c r="S7" i="6"/>
  <c r="AA7" i="6" s="1"/>
  <c r="S26" i="6"/>
  <c r="AA26" i="6" s="1"/>
  <c r="S152" i="6"/>
  <c r="AA152" i="6" s="1"/>
  <c r="S184" i="6"/>
  <c r="AA184" i="6" s="1"/>
  <c r="S136" i="6"/>
  <c r="AA136" i="6" s="1"/>
  <c r="S123" i="6"/>
  <c r="AA123" i="6" s="1"/>
  <c r="S145" i="6"/>
  <c r="AA145" i="6" s="1"/>
  <c r="S168" i="6"/>
  <c r="AA168" i="6" s="1"/>
  <c r="S84" i="6"/>
  <c r="AA84" i="6" s="1"/>
  <c r="S87" i="6"/>
  <c r="AA87" i="6" s="1"/>
  <c r="S187" i="6"/>
  <c r="S32" i="6"/>
  <c r="AA32" i="6" s="1"/>
  <c r="S35" i="6"/>
  <c r="AA35" i="6" s="1"/>
  <c r="S98" i="6"/>
  <c r="AA98" i="6" s="1"/>
  <c r="S106" i="6"/>
  <c r="AA106" i="6" s="1"/>
  <c r="S182" i="6"/>
  <c r="AA182" i="6" s="1"/>
  <c r="S62" i="6"/>
  <c r="AA62" i="6" s="1"/>
  <c r="S177" i="6"/>
  <c r="AA177" i="6" s="1"/>
  <c r="S172" i="6"/>
  <c r="AA172" i="6" s="1"/>
  <c r="S183" i="6"/>
  <c r="AA183" i="6" s="1"/>
  <c r="S18" i="6"/>
  <c r="AA18" i="6" s="1"/>
  <c r="S116" i="6"/>
  <c r="AA116" i="6" s="1"/>
  <c r="S196" i="6"/>
  <c r="AA196" i="6" s="1"/>
  <c r="S10" i="6"/>
  <c r="AA10" i="6" s="1"/>
  <c r="S185" i="6"/>
  <c r="AA185" i="6" s="1"/>
  <c r="S74" i="6"/>
  <c r="AA74" i="6" s="1"/>
  <c r="S17" i="6"/>
  <c r="AA17" i="6" s="1"/>
  <c r="S131" i="6"/>
  <c r="AA131" i="6" s="1"/>
  <c r="S76" i="6"/>
  <c r="S197" i="6"/>
  <c r="AA197" i="6" s="1"/>
  <c r="S151" i="6"/>
  <c r="AA151" i="6" s="1"/>
  <c r="S163" i="6"/>
  <c r="AA163" i="6" s="1"/>
  <c r="S175" i="6"/>
  <c r="AA175" i="6" s="1"/>
  <c r="S64" i="6"/>
  <c r="AA64" i="6" s="1"/>
  <c r="S41" i="6"/>
  <c r="AA41" i="6" s="1"/>
  <c r="S66" i="6"/>
  <c r="AA66" i="6" s="1"/>
  <c r="S135" i="6"/>
  <c r="AA135" i="6" s="1"/>
  <c r="S188" i="6"/>
  <c r="AA188" i="6" s="1"/>
  <c r="S176" i="6"/>
  <c r="AA176" i="6" s="1"/>
  <c r="S111" i="6"/>
  <c r="AA111" i="6" s="1"/>
  <c r="S134" i="6"/>
  <c r="AA134" i="6" s="1"/>
  <c r="S162" i="6"/>
  <c r="AA162" i="6" s="1"/>
  <c r="S50" i="6"/>
  <c r="AA50" i="6" s="1"/>
  <c r="S113" i="6"/>
  <c r="AA113" i="6" s="1"/>
  <c r="S164" i="6"/>
  <c r="AA164" i="6" s="1"/>
  <c r="S129" i="6"/>
  <c r="AA129" i="6" s="1"/>
  <c r="S40" i="6"/>
  <c r="AA40" i="6" s="1"/>
  <c r="S70" i="6"/>
  <c r="S52" i="6"/>
  <c r="AA52" i="6" s="1"/>
  <c r="S109" i="6"/>
  <c r="AA109" i="6" s="1"/>
  <c r="S44" i="6"/>
  <c r="AA44" i="6" s="1"/>
  <c r="S91" i="6"/>
  <c r="AA91" i="6" s="1"/>
  <c r="S89" i="6"/>
  <c r="AA89" i="6" s="1"/>
  <c r="S121" i="6"/>
  <c r="AA121" i="6" s="1"/>
  <c r="S72" i="6"/>
  <c r="AA72" i="6" s="1"/>
  <c r="S148" i="6"/>
  <c r="AA148" i="6" s="1"/>
  <c r="S124" i="6"/>
  <c r="AA124" i="6" s="1"/>
  <c r="S96" i="6"/>
  <c r="AA96" i="6" s="1"/>
  <c r="S59" i="6"/>
  <c r="AA59" i="6" s="1"/>
  <c r="S139" i="6"/>
  <c r="AA139" i="6" s="1"/>
  <c r="S143" i="6"/>
  <c r="AA143" i="6" s="1"/>
  <c r="S75" i="6"/>
  <c r="AA75" i="6" s="1"/>
  <c r="S69" i="6"/>
  <c r="AA69" i="6" s="1"/>
  <c r="S78" i="6"/>
  <c r="AA78" i="6" s="1"/>
  <c r="S49" i="6"/>
  <c r="AA49" i="6" s="1"/>
  <c r="S6" i="6"/>
  <c r="AA6" i="6" s="1"/>
  <c r="S146" i="6"/>
  <c r="AA146" i="6" s="1"/>
  <c r="S156" i="6"/>
  <c r="AA156" i="6" s="1"/>
  <c r="S24" i="6"/>
  <c r="AA24" i="6" s="1"/>
  <c r="S77" i="6"/>
  <c r="AA77" i="6" s="1"/>
  <c r="S23" i="6"/>
  <c r="AA23" i="6" s="1"/>
  <c r="S174" i="6"/>
  <c r="AA174" i="6" s="1"/>
  <c r="S117" i="6"/>
  <c r="AA117" i="6" s="1"/>
  <c r="S3" i="6"/>
  <c r="AA3" i="6" s="1"/>
  <c r="S128" i="6"/>
  <c r="AA128" i="6" s="1"/>
  <c r="S170" i="6"/>
  <c r="AA170" i="6" s="1"/>
  <c r="S153" i="6"/>
  <c r="AA153" i="6" s="1"/>
  <c r="S46" i="6"/>
  <c r="AA46" i="6" s="1"/>
  <c r="S166" i="6"/>
  <c r="AA166" i="6" s="1"/>
  <c r="S97" i="6"/>
  <c r="AA97" i="6" s="1"/>
  <c r="S73" i="6"/>
  <c r="AA73" i="6" s="1"/>
  <c r="S155" i="6"/>
  <c r="AA155" i="6" s="1"/>
  <c r="S31" i="6"/>
  <c r="AA31" i="6" s="1"/>
  <c r="S157" i="6"/>
  <c r="AA157" i="6" s="1"/>
  <c r="S60" i="6"/>
  <c r="AA60" i="6" s="1"/>
  <c r="S112" i="6"/>
  <c r="AA112" i="6" s="1"/>
  <c r="S16" i="6"/>
  <c r="AA16" i="6" s="1"/>
  <c r="S65" i="6"/>
  <c r="AA65" i="6" s="1"/>
  <c r="S12" i="6"/>
  <c r="AA12" i="6" s="1"/>
  <c r="S119" i="6"/>
  <c r="AA119" i="6" s="1"/>
  <c r="S118" i="6"/>
  <c r="AA118" i="6" s="1"/>
  <c r="S47" i="6"/>
  <c r="AA47" i="6" s="1"/>
  <c r="S53" i="6"/>
  <c r="AA53" i="6" s="1"/>
  <c r="S144" i="6"/>
  <c r="AA144" i="6" s="1"/>
  <c r="S165" i="6"/>
  <c r="AA165" i="6" s="1"/>
  <c r="S82" i="6"/>
  <c r="AA82" i="6" s="1"/>
  <c r="S181" i="6"/>
  <c r="AA181" i="6" s="1"/>
  <c r="S126" i="6"/>
  <c r="AA126" i="6" s="1"/>
  <c r="S2" i="6"/>
  <c r="AA2" i="6" s="1"/>
  <c r="S191" i="6"/>
  <c r="AA191" i="6" s="1"/>
  <c r="S160" i="6"/>
  <c r="AA160" i="6" s="1"/>
  <c r="S9" i="6"/>
  <c r="AA9" i="6" s="1"/>
  <c r="S34" i="6"/>
  <c r="AA34" i="6" s="1"/>
  <c r="S38" i="6"/>
  <c r="AA38" i="6" s="1"/>
  <c r="S21" i="6"/>
  <c r="AA21" i="6" s="1"/>
  <c r="S107" i="6"/>
  <c r="AA107" i="6" s="1"/>
  <c r="S167" i="6"/>
  <c r="AA167" i="6" s="1"/>
  <c r="S68" i="6"/>
  <c r="AA68" i="6" s="1"/>
  <c r="S120" i="6"/>
  <c r="AA120" i="6" s="1"/>
  <c r="S189" i="6"/>
  <c r="AA189" i="6" s="1"/>
  <c r="S138" i="6"/>
  <c r="AA138" i="6" s="1"/>
  <c r="S86" i="6"/>
  <c r="AA86" i="6" s="1"/>
  <c r="S137" i="6"/>
  <c r="AA137" i="6" s="1"/>
  <c r="S95" i="6"/>
  <c r="AA95" i="6" s="1"/>
  <c r="S150" i="6"/>
  <c r="AA150" i="6" s="1"/>
  <c r="S81" i="6"/>
  <c r="AA81" i="6" s="1"/>
  <c r="S101" i="6"/>
  <c r="AA101" i="6" s="1"/>
  <c r="S141" i="6"/>
  <c r="AA141" i="6" s="1"/>
  <c r="S83" i="6"/>
  <c r="AA83" i="6" s="1"/>
  <c r="S58" i="6"/>
  <c r="AA58" i="6" s="1"/>
  <c r="S140" i="6"/>
  <c r="AA140" i="6" s="1"/>
  <c r="S22" i="6"/>
  <c r="S85" i="6"/>
  <c r="AA85" i="6" s="1"/>
  <c r="S127" i="6"/>
  <c r="AA127" i="6" s="1"/>
  <c r="S105" i="6"/>
  <c r="AA105" i="6" s="1"/>
  <c r="S33" i="6"/>
  <c r="AA33" i="6" s="1"/>
  <c r="S63" i="6"/>
  <c r="AA63" i="6" s="1"/>
  <c r="S104" i="6"/>
  <c r="AA104" i="6" s="1"/>
  <c r="S45" i="6"/>
  <c r="AA45" i="6" s="1"/>
  <c r="S198" i="6"/>
  <c r="AA198" i="6" s="1"/>
  <c r="S36" i="6"/>
  <c r="AA36" i="6" s="1"/>
  <c r="S29" i="6"/>
  <c r="AA29" i="6" s="1"/>
  <c r="S149" i="6"/>
  <c r="AA149" i="6" s="1"/>
  <c r="S180" i="6"/>
  <c r="AA180" i="6" s="1"/>
  <c r="S161" i="6"/>
  <c r="AA161" i="6" s="1"/>
  <c r="S192" i="6"/>
  <c r="AA192" i="6" s="1"/>
  <c r="S25" i="6"/>
  <c r="AA25" i="6" s="1"/>
  <c r="S43" i="6"/>
  <c r="AA43" i="6" s="1"/>
  <c r="S94" i="6"/>
  <c r="AA94" i="6" s="1"/>
  <c r="S169" i="6"/>
  <c r="AA169" i="6" s="1"/>
  <c r="S114" i="6"/>
  <c r="AA114" i="6" s="1"/>
  <c r="S199" i="6"/>
  <c r="AA199" i="6" s="1"/>
  <c r="S110" i="6"/>
  <c r="AA110" i="6" s="1"/>
  <c r="S55" i="6"/>
  <c r="AA55" i="6" s="1"/>
  <c r="S179" i="6"/>
  <c r="AA179" i="6" s="1"/>
  <c r="S102" i="6"/>
  <c r="AA102" i="6" s="1"/>
  <c r="S130" i="6"/>
  <c r="AA130" i="6" s="1"/>
  <c r="S48" i="6"/>
  <c r="AA48" i="6" s="1"/>
  <c r="S8" i="6"/>
  <c r="AA8" i="6" s="1"/>
  <c r="S159" i="6"/>
  <c r="AA159" i="6" s="1"/>
  <c r="S30" i="6"/>
  <c r="AA30" i="6" s="1"/>
  <c r="S54" i="6"/>
  <c r="AA54" i="6" s="1"/>
  <c r="S5" i="6"/>
  <c r="AA5" i="6" s="1"/>
  <c r="S28" i="6"/>
  <c r="AA28" i="6" s="1"/>
  <c r="S125" i="6"/>
  <c r="AA125" i="6" s="1"/>
  <c r="S115" i="6"/>
  <c r="AA115" i="6" s="1"/>
  <c r="S142" i="6"/>
  <c r="S147" i="6"/>
  <c r="AA147" i="6" s="1"/>
  <c r="S194" i="6"/>
  <c r="AA194" i="6" s="1"/>
  <c r="S100" i="6"/>
  <c r="AA100" i="6" s="1"/>
  <c r="S190" i="6"/>
  <c r="AA190" i="6" s="1"/>
  <c r="S13" i="6"/>
  <c r="AA13" i="6" s="1"/>
  <c r="S56" i="6"/>
  <c r="AA56" i="6" s="1"/>
  <c r="S195" i="6"/>
  <c r="AA195" i="6" s="1"/>
  <c r="S158" i="6"/>
  <c r="AA158" i="6" s="1"/>
  <c r="S37" i="6"/>
  <c r="AA37" i="6" s="1"/>
  <c r="S178" i="6"/>
  <c r="AA178" i="6" s="1"/>
  <c r="S99" i="6"/>
  <c r="AA99" i="6" s="1"/>
  <c r="S11" i="6"/>
  <c r="AA11" i="6" s="1"/>
  <c r="S51" i="6"/>
  <c r="AA51" i="6" s="1"/>
  <c r="S103" i="6"/>
  <c r="AA103" i="6" s="1"/>
  <c r="S133" i="6"/>
  <c r="AA133" i="6" s="1"/>
  <c r="S193" i="6"/>
  <c r="AA193" i="6" s="1"/>
  <c r="S154" i="6"/>
  <c r="AA154" i="6" s="1"/>
  <c r="S14" i="6"/>
  <c r="AA14" i="6" s="1"/>
  <c r="S20" i="6"/>
  <c r="AA20" i="6" s="1"/>
  <c r="AA15" i="6"/>
  <c r="AB197" i="6"/>
  <c r="AB52" i="6"/>
  <c r="AA142" i="6"/>
  <c r="AA70" i="6"/>
  <c r="AB94" i="6"/>
  <c r="AB177" i="6"/>
  <c r="AA76" i="6"/>
  <c r="AB65" i="6"/>
  <c r="AB4" i="6"/>
  <c r="AB35" i="6"/>
  <c r="AB156" i="6"/>
  <c r="AB61" i="6"/>
  <c r="AB89" i="6"/>
  <c r="AB100" i="6"/>
  <c r="AB176" i="6"/>
  <c r="AB103" i="6"/>
  <c r="AB64" i="6"/>
  <c r="AB40" i="6"/>
  <c r="AB70" i="6"/>
  <c r="AB199" i="6"/>
  <c r="AB200" i="6"/>
  <c r="AA22" i="6"/>
  <c r="AA42" i="6"/>
  <c r="AA173" i="6"/>
  <c r="AB117" i="6"/>
  <c r="AB138" i="6"/>
  <c r="AB102" i="6"/>
  <c r="AB42" i="6"/>
  <c r="AB56" i="6"/>
  <c r="AB82" i="6"/>
  <c r="AB112" i="6"/>
  <c r="AB151" i="6"/>
  <c r="AB86" i="6"/>
  <c r="AB122" i="6"/>
  <c r="AB34" i="6"/>
  <c r="AB110" i="6"/>
  <c r="AB153" i="6"/>
  <c r="AB29" i="6"/>
  <c r="AB101" i="6"/>
  <c r="AA187" i="6"/>
  <c r="AB155" i="6"/>
  <c r="AB41" i="6"/>
  <c r="AB95" i="6"/>
  <c r="AB146" i="6"/>
  <c r="AB19" i="6"/>
  <c r="AB79" i="6"/>
  <c r="AB192" i="6"/>
  <c r="AB59" i="6"/>
  <c r="AB12" i="6"/>
  <c r="AA186" i="6"/>
  <c r="AA57" i="6"/>
  <c r="AB183" i="6"/>
  <c r="AB154" i="6"/>
  <c r="F181" i="6"/>
  <c r="F83" i="6"/>
  <c r="F22" i="6"/>
  <c r="F170" i="6"/>
  <c r="F197" i="6"/>
  <c r="F66" i="6"/>
  <c r="F190" i="6"/>
  <c r="F191" i="6"/>
  <c r="F108" i="6"/>
  <c r="F53" i="6"/>
  <c r="F67" i="6"/>
  <c r="F15" i="6"/>
  <c r="F158" i="6"/>
  <c r="F127" i="6"/>
  <c r="F51" i="6"/>
  <c r="F36" i="6"/>
  <c r="F118" i="6"/>
  <c r="F135" i="6"/>
  <c r="F123" i="6"/>
  <c r="F169" i="6"/>
  <c r="F140" i="6"/>
  <c r="F138" i="6"/>
  <c r="F139" i="6"/>
  <c r="F86" i="6"/>
  <c r="F128" i="6"/>
  <c r="F129" i="6"/>
  <c r="F182" i="6"/>
  <c r="F189" i="6"/>
  <c r="F79" i="6"/>
  <c r="F131" i="6"/>
  <c r="F174" i="6"/>
  <c r="F63" i="6"/>
  <c r="F112" i="6"/>
  <c r="F163" i="6"/>
  <c r="F90" i="6"/>
  <c r="F102" i="6"/>
  <c r="F192" i="6"/>
  <c r="F195" i="6"/>
  <c r="F196" i="6"/>
  <c r="F72" i="6"/>
  <c r="F157" i="6"/>
  <c r="F150" i="6"/>
  <c r="F148" i="6"/>
  <c r="F37" i="6"/>
  <c r="F187" i="6"/>
  <c r="G136" i="6"/>
  <c r="F136" i="6"/>
  <c r="G5" i="6"/>
  <c r="F5" i="6"/>
  <c r="F126" i="6"/>
  <c r="F29" i="6"/>
  <c r="C61" i="6"/>
  <c r="F82" i="6"/>
  <c r="F142" i="6"/>
  <c r="F77" i="6"/>
  <c r="F65" i="6"/>
  <c r="F30" i="6"/>
  <c r="F184" i="6"/>
  <c r="F71" i="6"/>
  <c r="F9" i="6"/>
  <c r="F119" i="6"/>
  <c r="F96" i="6"/>
  <c r="F91" i="6"/>
  <c r="F100" i="6"/>
  <c r="F75" i="6"/>
  <c r="F160" i="6"/>
  <c r="F46" i="6"/>
  <c r="F31" i="6"/>
  <c r="F14" i="6"/>
  <c r="F200" i="6"/>
  <c r="F165" i="6"/>
  <c r="F20" i="6"/>
  <c r="F183" i="6"/>
  <c r="F144" i="6"/>
  <c r="F122" i="6"/>
  <c r="F42" i="6"/>
  <c r="F141" i="6"/>
  <c r="F167" i="6"/>
  <c r="F104" i="6"/>
  <c r="B71" i="5"/>
  <c r="B65" i="5"/>
  <c r="C40" i="5"/>
  <c r="F40" i="5"/>
  <c r="C34" i="3" s="1"/>
  <c r="B40" i="5"/>
  <c r="D40" i="5"/>
  <c r="E40" i="5"/>
  <c r="G17" i="3"/>
  <c r="C22" i="5"/>
  <c r="G16" i="3"/>
  <c r="C1" i="6"/>
  <c r="B15" i="5"/>
  <c r="B12" i="5"/>
  <c r="C17" i="3" s="1"/>
  <c r="B34" i="5"/>
  <c r="C12" i="5"/>
  <c r="B24" i="5"/>
  <c r="B26" i="5" s="1"/>
  <c r="B35" i="5" s="1"/>
  <c r="D22" i="5"/>
  <c r="B17" i="5"/>
  <c r="B39" i="5"/>
  <c r="C30" i="5"/>
  <c r="F73" i="6"/>
  <c r="F168" i="6"/>
  <c r="F25" i="6"/>
  <c r="F153" i="6"/>
  <c r="F188" i="6"/>
  <c r="F32" i="6"/>
  <c r="F125" i="6"/>
  <c r="F159" i="6"/>
  <c r="F193" i="6"/>
  <c r="F109" i="6"/>
  <c r="F161" i="6"/>
  <c r="F175" i="6"/>
  <c r="F11" i="6"/>
  <c r="F21" i="6"/>
  <c r="F28" i="6"/>
  <c r="F70" i="6"/>
  <c r="F177" i="6"/>
  <c r="F84" i="6"/>
  <c r="F52" i="6"/>
  <c r="F116" i="6"/>
  <c r="F62" i="6"/>
  <c r="F132" i="6"/>
  <c r="F33" i="6"/>
  <c r="F95" i="6"/>
  <c r="F27" i="6"/>
  <c r="F99" i="6"/>
  <c r="F40" i="6"/>
  <c r="F54" i="6"/>
  <c r="F76" i="6"/>
  <c r="F10" i="6"/>
  <c r="F57" i="6"/>
  <c r="F43" i="6"/>
  <c r="F146" i="6"/>
  <c r="F133" i="6"/>
  <c r="F154" i="6"/>
  <c r="F124" i="6"/>
  <c r="F48" i="6"/>
  <c r="F185" i="6"/>
  <c r="F87" i="6"/>
  <c r="F45" i="6"/>
  <c r="F149" i="6"/>
  <c r="F88" i="6"/>
  <c r="F120" i="6"/>
  <c r="F55" i="6"/>
  <c r="F47" i="6"/>
  <c r="F80" i="6"/>
  <c r="F143" i="6"/>
  <c r="F74" i="6"/>
  <c r="F166" i="6"/>
  <c r="F49" i="6"/>
  <c r="F17" i="6"/>
  <c r="F44" i="6"/>
  <c r="F18" i="6"/>
  <c r="F106" i="6"/>
  <c r="F61" i="6"/>
  <c r="F111" i="6"/>
  <c r="F198" i="6"/>
  <c r="F58" i="6"/>
  <c r="F23" i="6"/>
  <c r="F97" i="6"/>
  <c r="F68" i="6"/>
  <c r="F35" i="6"/>
  <c r="F156" i="6"/>
  <c r="F147" i="6"/>
  <c r="F107" i="6"/>
  <c r="F121" i="6"/>
  <c r="F103" i="6"/>
  <c r="F89" i="6"/>
  <c r="F64" i="6"/>
  <c r="F173" i="6"/>
  <c r="G69" i="6"/>
  <c r="F113" i="6"/>
  <c r="F24" i="6"/>
  <c r="F117" i="6"/>
  <c r="F179" i="6"/>
  <c r="F56" i="6"/>
  <c r="F145" i="6"/>
  <c r="F81" i="6"/>
  <c r="F12" i="6"/>
  <c r="F151" i="6"/>
  <c r="F3" i="6"/>
  <c r="F186" i="6"/>
  <c r="F38" i="6"/>
  <c r="F172" i="6"/>
  <c r="F171" i="6"/>
  <c r="F137" i="6"/>
  <c r="F78" i="6"/>
  <c r="F130" i="6"/>
  <c r="F16" i="6"/>
  <c r="F19" i="6"/>
  <c r="F7" i="6"/>
  <c r="F85" i="6"/>
  <c r="F92" i="6"/>
  <c r="F8" i="6"/>
  <c r="F176" i="6"/>
  <c r="F4" i="6"/>
  <c r="C42" i="6"/>
  <c r="C34" i="6" s="1"/>
  <c r="F115" i="6"/>
  <c r="F180" i="6"/>
  <c r="F194" i="6"/>
  <c r="F155" i="6"/>
  <c r="F2" i="6"/>
  <c r="F152" i="6"/>
  <c r="F105" i="6"/>
  <c r="F26" i="6"/>
  <c r="F34" i="6"/>
  <c r="F6" i="6"/>
  <c r="F98" i="6"/>
  <c r="F93" i="6"/>
  <c r="F39" i="6"/>
  <c r="F178" i="6"/>
  <c r="F13" i="6"/>
  <c r="F94" i="6"/>
  <c r="F101" i="6"/>
  <c r="F60" i="6"/>
  <c r="F69" i="6"/>
  <c r="C79" i="6" s="1"/>
  <c r="F110" i="6"/>
  <c r="F50" i="6"/>
  <c r="F41" i="6"/>
  <c r="F59" i="6"/>
  <c r="F164" i="6"/>
  <c r="F162" i="6"/>
  <c r="F199" i="6"/>
  <c r="F134" i="6"/>
  <c r="F114" i="6"/>
  <c r="C31" i="6" l="1"/>
  <c r="C29" i="6"/>
  <c r="B38" i="5"/>
  <c r="B42" i="5" s="1"/>
  <c r="B20" i="5"/>
  <c r="B16" i="5"/>
  <c r="B44" i="5"/>
  <c r="C15" i="5"/>
  <c r="B46" i="5" s="1"/>
  <c r="B47" i="5"/>
  <c r="B48" i="5"/>
  <c r="B27" i="5"/>
  <c r="B31" i="5"/>
  <c r="B33" i="5" s="1"/>
  <c r="C22" i="3"/>
  <c r="B56" i="5"/>
  <c r="G33" i="3" s="1"/>
  <c r="C33" i="6"/>
  <c r="H53" i="6"/>
  <c r="H119" i="6"/>
  <c r="H175" i="6"/>
  <c r="H59" i="6"/>
  <c r="H109" i="6"/>
  <c r="H98" i="6"/>
  <c r="H103" i="6"/>
  <c r="H149" i="6"/>
  <c r="H61" i="6"/>
  <c r="H154" i="6"/>
  <c r="H129" i="6"/>
  <c r="H145" i="6"/>
  <c r="H138" i="6"/>
  <c r="H120" i="6"/>
  <c r="H134" i="6"/>
  <c r="H89" i="6"/>
  <c r="H179" i="6"/>
  <c r="H67" i="6"/>
  <c r="H94" i="6"/>
  <c r="H182" i="6"/>
  <c r="H95" i="6"/>
  <c r="H12" i="6"/>
  <c r="H200" i="6"/>
  <c r="H51" i="6"/>
  <c r="H6" i="6"/>
  <c r="H24" i="6"/>
  <c r="H70" i="6"/>
  <c r="H16" i="6"/>
  <c r="H65" i="6"/>
  <c r="H36" i="6"/>
  <c r="H114" i="6"/>
  <c r="H123" i="6"/>
  <c r="H150" i="6"/>
  <c r="H7" i="6"/>
  <c r="H19" i="6"/>
  <c r="H4" i="6"/>
  <c r="H191" i="6"/>
  <c r="H111" i="6"/>
  <c r="H29" i="6"/>
  <c r="H135" i="6"/>
  <c r="H142" i="6"/>
  <c r="H198" i="6"/>
  <c r="H92" i="6"/>
  <c r="H41" i="6"/>
  <c r="H68" i="6"/>
  <c r="H189" i="6"/>
  <c r="H35" i="6"/>
  <c r="H121" i="6"/>
  <c r="H72" i="6"/>
  <c r="H180" i="6"/>
  <c r="H17" i="6"/>
  <c r="H10" i="6"/>
  <c r="H56" i="6"/>
  <c r="H63" i="6"/>
  <c r="H69" i="6"/>
  <c r="H163" i="6"/>
  <c r="H197" i="6"/>
  <c r="H52" i="6"/>
  <c r="H185" i="6"/>
  <c r="H137" i="6"/>
  <c r="H147" i="6"/>
  <c r="H165" i="6"/>
  <c r="H54" i="6"/>
  <c r="H34" i="6"/>
  <c r="H170" i="6"/>
  <c r="H125" i="6"/>
  <c r="H140" i="6"/>
  <c r="H104" i="6"/>
  <c r="H49" i="6"/>
  <c r="H32" i="6"/>
  <c r="H44" i="6"/>
  <c r="H193" i="6"/>
  <c r="H13" i="6"/>
  <c r="H40" i="6"/>
  <c r="H184" i="6"/>
  <c r="H21" i="6"/>
  <c r="H8" i="6"/>
  <c r="H172" i="6"/>
  <c r="H161" i="6"/>
  <c r="H45" i="6"/>
  <c r="H106" i="6"/>
  <c r="H144" i="6"/>
  <c r="H37" i="6"/>
  <c r="H64" i="6"/>
  <c r="H139" i="6"/>
  <c r="H186" i="6"/>
  <c r="H158" i="6"/>
  <c r="H183" i="6"/>
  <c r="H46" i="6"/>
  <c r="H164" i="6"/>
  <c r="H101" i="6"/>
  <c r="H108" i="6"/>
  <c r="H42" i="6"/>
  <c r="H128" i="6"/>
  <c r="H118" i="6"/>
  <c r="H196" i="6"/>
  <c r="H50" i="6"/>
  <c r="H107" i="6"/>
  <c r="H2" i="6"/>
  <c r="H23" i="6"/>
  <c r="H62" i="6"/>
  <c r="C41" i="6"/>
  <c r="H157" i="6"/>
  <c r="H88" i="6"/>
  <c r="H76" i="6"/>
  <c r="H199" i="6"/>
  <c r="H171" i="6"/>
  <c r="H73" i="6"/>
  <c r="H132" i="6"/>
  <c r="H91" i="6"/>
  <c r="H153" i="6"/>
  <c r="H87" i="6"/>
  <c r="H102" i="6"/>
  <c r="H148" i="6"/>
  <c r="H78" i="6"/>
  <c r="H188" i="6"/>
  <c r="H38" i="6"/>
  <c r="H143" i="6"/>
  <c r="H25" i="6"/>
  <c r="H130" i="6"/>
  <c r="H152" i="6"/>
  <c r="H195" i="6"/>
  <c r="H151" i="6"/>
  <c r="H90" i="6"/>
  <c r="H141" i="6"/>
  <c r="H177" i="6"/>
  <c r="H97" i="6"/>
  <c r="H22" i="6"/>
  <c r="H18" i="6"/>
  <c r="H124" i="6"/>
  <c r="H55" i="6"/>
  <c r="H74" i="6"/>
  <c r="H116" i="6"/>
  <c r="H81" i="6"/>
  <c r="H156" i="6"/>
  <c r="H126" i="6"/>
  <c r="H9" i="6"/>
  <c r="H77" i="6"/>
  <c r="H174" i="6"/>
  <c r="H48" i="6"/>
  <c r="H28" i="6"/>
  <c r="H47" i="6"/>
  <c r="H80" i="6"/>
  <c r="H3" i="6"/>
  <c r="H105" i="6"/>
  <c r="H190" i="6"/>
  <c r="H122" i="6"/>
  <c r="H58" i="6"/>
  <c r="H84" i="6"/>
  <c r="H43" i="6"/>
  <c r="H187" i="6"/>
  <c r="H167" i="6"/>
  <c r="H14" i="6"/>
  <c r="H93" i="6"/>
  <c r="H168" i="6"/>
  <c r="H33" i="6"/>
  <c r="H57" i="6"/>
  <c r="H173" i="6"/>
  <c r="H5" i="6"/>
  <c r="H178" i="6"/>
  <c r="H39" i="6"/>
  <c r="H75" i="6"/>
  <c r="H127" i="6"/>
  <c r="H26" i="6"/>
  <c r="H169" i="6"/>
  <c r="H71" i="6"/>
  <c r="H99" i="6"/>
  <c r="H85" i="6"/>
  <c r="H159" i="6"/>
  <c r="H133" i="6"/>
  <c r="H112" i="6"/>
  <c r="H110" i="6"/>
  <c r="H11" i="6"/>
  <c r="H86" i="6"/>
  <c r="H162" i="6"/>
  <c r="H60" i="6"/>
  <c r="H117" i="6"/>
  <c r="H176" i="6"/>
  <c r="H115" i="6"/>
  <c r="H181" i="6"/>
  <c r="H30" i="6"/>
  <c r="H192" i="6"/>
  <c r="H82" i="6"/>
  <c r="H96" i="6"/>
  <c r="H194" i="6"/>
  <c r="H146" i="6"/>
  <c r="H136" i="6"/>
  <c r="H20" i="6"/>
  <c r="H27" i="6"/>
  <c r="H31" i="6"/>
  <c r="H131" i="6"/>
  <c r="H113" i="6"/>
  <c r="H160" i="6"/>
  <c r="H166" i="6"/>
  <c r="H83" i="6"/>
  <c r="H100" i="6"/>
  <c r="H66" i="6"/>
  <c r="H15" i="6"/>
  <c r="H79" i="6"/>
  <c r="H155" i="6"/>
  <c r="P20" i="6" l="1"/>
  <c r="P21" i="6" s="1"/>
  <c r="C24" i="3"/>
  <c r="B22" i="5"/>
  <c r="C25" i="3" s="1"/>
  <c r="C54" i="6"/>
  <c r="C55" i="6" s="1"/>
  <c r="C38" i="6"/>
  <c r="C65" i="6"/>
  <c r="C44" i="6"/>
  <c r="I193" i="6"/>
  <c r="I34" i="6"/>
  <c r="I107" i="6"/>
  <c r="I133" i="6"/>
  <c r="I190" i="6"/>
  <c r="I137" i="6"/>
  <c r="I32" i="6"/>
  <c r="I116" i="6"/>
  <c r="I24" i="6"/>
  <c r="I123" i="6"/>
  <c r="I33" i="6"/>
  <c r="I61" i="6"/>
  <c r="I83" i="6"/>
  <c r="I81" i="6"/>
  <c r="I50" i="6"/>
  <c r="I66" i="6"/>
  <c r="I96" i="6"/>
  <c r="I169" i="6"/>
  <c r="I198" i="6"/>
  <c r="I88" i="6"/>
  <c r="I148" i="6"/>
  <c r="I111" i="6"/>
  <c r="I86" i="6"/>
  <c r="I119" i="6"/>
  <c r="I184" i="6"/>
  <c r="I4" i="6"/>
  <c r="I157" i="6"/>
  <c r="I41" i="6"/>
  <c r="I45" i="6"/>
  <c r="I141" i="6"/>
  <c r="I14" i="6"/>
  <c r="I21" i="6"/>
  <c r="I165" i="6"/>
  <c r="I168" i="6"/>
  <c r="I112" i="6"/>
  <c r="I181" i="6"/>
  <c r="I60" i="6"/>
  <c r="I134" i="6"/>
  <c r="I150" i="6"/>
  <c r="I48" i="6"/>
  <c r="I39" i="6"/>
  <c r="I75" i="6"/>
  <c r="I27" i="6"/>
  <c r="I189" i="6"/>
  <c r="I19" i="6"/>
  <c r="I127" i="6"/>
  <c r="I176" i="6"/>
  <c r="I92" i="6"/>
  <c r="I91" i="6"/>
  <c r="I196" i="6"/>
  <c r="I100" i="6"/>
  <c r="I29" i="6"/>
  <c r="I85" i="6"/>
  <c r="I28" i="6"/>
  <c r="I162" i="6"/>
  <c r="I72" i="6"/>
  <c r="I145" i="6"/>
  <c r="I144" i="6"/>
  <c r="I76" i="6"/>
  <c r="I2" i="6"/>
  <c r="I178" i="6"/>
  <c r="I172" i="6"/>
  <c r="I122" i="6"/>
  <c r="I18" i="6"/>
  <c r="I6" i="6"/>
  <c r="I174" i="6"/>
  <c r="I68" i="6"/>
  <c r="I17" i="6"/>
  <c r="I125" i="6"/>
  <c r="I11" i="6"/>
  <c r="I79" i="6"/>
  <c r="I124" i="6"/>
  <c r="I114" i="6"/>
  <c r="I126" i="6"/>
  <c r="I23" i="6"/>
  <c r="I186" i="6"/>
  <c r="I37" i="6"/>
  <c r="I194" i="6"/>
  <c r="I146" i="6"/>
  <c r="I170" i="6"/>
  <c r="I182" i="6"/>
  <c r="I147" i="6"/>
  <c r="I180" i="6"/>
  <c r="I71" i="6"/>
  <c r="I49" i="6"/>
  <c r="I152" i="6"/>
  <c r="I12" i="6"/>
  <c r="I70" i="6"/>
  <c r="I105" i="6"/>
  <c r="I191" i="6"/>
  <c r="I163" i="6"/>
  <c r="I80" i="6"/>
  <c r="I188" i="6"/>
  <c r="I120" i="6"/>
  <c r="I183" i="6"/>
  <c r="I139" i="6"/>
  <c r="I158" i="6"/>
  <c r="I142" i="6"/>
  <c r="I10" i="6"/>
  <c r="I106" i="6"/>
  <c r="I166" i="6"/>
  <c r="I82" i="6"/>
  <c r="I131" i="6"/>
  <c r="I87" i="6"/>
  <c r="I192" i="6"/>
  <c r="I200" i="6"/>
  <c r="I135" i="6"/>
  <c r="I171" i="6"/>
  <c r="I93" i="6"/>
  <c r="I65" i="6"/>
  <c r="I20" i="6"/>
  <c r="I199" i="6"/>
  <c r="I16" i="6"/>
  <c r="I26" i="6"/>
  <c r="I138" i="6"/>
  <c r="I9" i="6"/>
  <c r="I7" i="6"/>
  <c r="I90" i="6"/>
  <c r="I177" i="6"/>
  <c r="I173" i="6"/>
  <c r="I44" i="6"/>
  <c r="I40" i="6"/>
  <c r="I89" i="6"/>
  <c r="I3" i="6"/>
  <c r="I104" i="6"/>
  <c r="I5" i="6"/>
  <c r="I156" i="6"/>
  <c r="I55" i="6"/>
  <c r="I167" i="6"/>
  <c r="I46" i="6"/>
  <c r="I58" i="6"/>
  <c r="I175" i="6"/>
  <c r="I62" i="6"/>
  <c r="I117" i="6"/>
  <c r="I97" i="6"/>
  <c r="I22" i="6"/>
  <c r="I118" i="6"/>
  <c r="I69" i="6"/>
  <c r="I153" i="6"/>
  <c r="I94" i="6"/>
  <c r="I47" i="6"/>
  <c r="I121" i="6"/>
  <c r="I35" i="6"/>
  <c r="I128" i="6"/>
  <c r="I160" i="6"/>
  <c r="I43" i="6"/>
  <c r="I42" i="6"/>
  <c r="I159" i="6"/>
  <c r="I84" i="6"/>
  <c r="I164" i="6"/>
  <c r="I155" i="6"/>
  <c r="I197" i="6"/>
  <c r="I103" i="6"/>
  <c r="I74" i="6"/>
  <c r="I8" i="6"/>
  <c r="I54" i="6"/>
  <c r="I154" i="6"/>
  <c r="I129" i="6"/>
  <c r="I110" i="6"/>
  <c r="I109" i="6"/>
  <c r="I31" i="6"/>
  <c r="I101" i="6"/>
  <c r="I130" i="6"/>
  <c r="I63" i="6"/>
  <c r="I113" i="6"/>
  <c r="I143" i="6"/>
  <c r="I64" i="6"/>
  <c r="I115" i="6"/>
  <c r="I36" i="6"/>
  <c r="I38" i="6"/>
  <c r="I108" i="6"/>
  <c r="I185" i="6"/>
  <c r="I25" i="6"/>
  <c r="I78" i="6"/>
  <c r="I187" i="6"/>
  <c r="I179" i="6"/>
  <c r="I15" i="6"/>
  <c r="I151" i="6"/>
  <c r="I53" i="6"/>
  <c r="I149" i="6"/>
  <c r="I132" i="6"/>
  <c r="I136" i="6"/>
  <c r="I52" i="6"/>
  <c r="I57" i="6"/>
  <c r="I51" i="6"/>
  <c r="I56" i="6"/>
  <c r="I77" i="6"/>
  <c r="I102" i="6"/>
  <c r="I140" i="6"/>
  <c r="I161" i="6"/>
  <c r="I73" i="6"/>
  <c r="I99" i="6"/>
  <c r="I59" i="6"/>
  <c r="I98" i="6"/>
  <c r="I95" i="6"/>
  <c r="I195" i="6"/>
  <c r="I13" i="6"/>
  <c r="I30" i="6"/>
  <c r="I67" i="6"/>
  <c r="C33" i="5"/>
  <c r="G25" i="3" s="1"/>
  <c r="G26" i="3" s="1"/>
  <c r="G19" i="3"/>
  <c r="B52" i="5"/>
  <c r="B53" i="5" s="1"/>
  <c r="J134" i="6" l="1"/>
  <c r="J98" i="6"/>
  <c r="J5" i="6"/>
  <c r="J189" i="6"/>
  <c r="J55" i="6"/>
  <c r="J104" i="6"/>
  <c r="J34" i="6"/>
  <c r="J133" i="6"/>
  <c r="J95" i="6"/>
  <c r="J90" i="6"/>
  <c r="J171" i="6"/>
  <c r="J23" i="6"/>
  <c r="J165" i="6"/>
  <c r="J99" i="6"/>
  <c r="J76" i="6"/>
  <c r="J182" i="6"/>
  <c r="J122" i="6"/>
  <c r="J30" i="6"/>
  <c r="J160" i="6"/>
  <c r="J68" i="6"/>
  <c r="J61" i="6"/>
  <c r="J128" i="6"/>
  <c r="J83" i="6"/>
  <c r="J144" i="6"/>
  <c r="J184" i="6"/>
  <c r="J164" i="6"/>
  <c r="J141" i="6"/>
  <c r="J59" i="6"/>
  <c r="J15" i="6"/>
  <c r="J175" i="6"/>
  <c r="J81" i="6"/>
  <c r="J129" i="6"/>
  <c r="J156" i="6"/>
  <c r="J18" i="6"/>
  <c r="J151" i="6"/>
  <c r="J167" i="6"/>
  <c r="J22" i="6"/>
  <c r="J64" i="6"/>
  <c r="J195" i="6"/>
  <c r="J136" i="6"/>
  <c r="J85" i="6"/>
  <c r="J31" i="6"/>
  <c r="J65" i="6"/>
  <c r="J66" i="6"/>
  <c r="J46" i="6"/>
  <c r="J93" i="6"/>
  <c r="J157" i="6"/>
  <c r="J177" i="6"/>
  <c r="J161" i="6"/>
  <c r="J142" i="6"/>
  <c r="J126" i="6"/>
  <c r="J33" i="6"/>
  <c r="J114" i="6"/>
  <c r="J97" i="6"/>
  <c r="J24" i="6"/>
  <c r="J169" i="6"/>
  <c r="J154" i="6"/>
  <c r="J53" i="6"/>
  <c r="J145" i="6"/>
  <c r="J101" i="6"/>
  <c r="J58" i="6"/>
  <c r="J173" i="6"/>
  <c r="J158" i="6"/>
  <c r="J188" i="6"/>
  <c r="J17" i="6"/>
  <c r="J60" i="6"/>
  <c r="J191" i="6"/>
  <c r="J148" i="6"/>
  <c r="J113" i="6"/>
  <c r="J73" i="6"/>
  <c r="J71" i="6"/>
  <c r="J112" i="6"/>
  <c r="J192" i="6"/>
  <c r="J187" i="6"/>
  <c r="J72" i="6"/>
  <c r="J183" i="6"/>
  <c r="J106" i="6"/>
  <c r="J16" i="6"/>
  <c r="J123" i="6"/>
  <c r="J84" i="6"/>
  <c r="J118" i="6"/>
  <c r="J20" i="6"/>
  <c r="J8" i="6"/>
  <c r="J37" i="6"/>
  <c r="J193" i="6"/>
  <c r="J12" i="6"/>
  <c r="J125" i="6"/>
  <c r="J130" i="6"/>
  <c r="J21" i="6"/>
  <c r="J137" i="6"/>
  <c r="J119" i="6"/>
  <c r="J42" i="6"/>
  <c r="J103" i="6"/>
  <c r="J172" i="6"/>
  <c r="J92" i="6"/>
  <c r="J194" i="6"/>
  <c r="J150" i="6"/>
  <c r="J196" i="6"/>
  <c r="J143" i="6"/>
  <c r="J107" i="6"/>
  <c r="J131" i="6"/>
  <c r="J155" i="6"/>
  <c r="J10" i="6"/>
  <c r="J25" i="6"/>
  <c r="J19" i="6"/>
  <c r="J111" i="6"/>
  <c r="J75" i="6"/>
  <c r="J135" i="6"/>
  <c r="C51" i="6"/>
  <c r="J163" i="6"/>
  <c r="J47" i="6"/>
  <c r="J54" i="6"/>
  <c r="J86" i="6"/>
  <c r="J13" i="6"/>
  <c r="J2" i="6"/>
  <c r="J74" i="6"/>
  <c r="J162" i="6"/>
  <c r="J63" i="6"/>
  <c r="J52" i="6"/>
  <c r="J45" i="6"/>
  <c r="J82" i="6"/>
  <c r="J14" i="6"/>
  <c r="J9" i="6"/>
  <c r="J51" i="6"/>
  <c r="J79" i="6"/>
  <c r="J4" i="6"/>
  <c r="J147" i="6"/>
  <c r="J120" i="6"/>
  <c r="J36" i="6"/>
  <c r="J27" i="6"/>
  <c r="J39" i="6"/>
  <c r="J116" i="6"/>
  <c r="J38" i="6"/>
  <c r="J40" i="6"/>
  <c r="J185" i="6"/>
  <c r="J69" i="6"/>
  <c r="J138" i="6"/>
  <c r="J166" i="6"/>
  <c r="J176" i="6"/>
  <c r="J153" i="6"/>
  <c r="J149" i="6"/>
  <c r="J67" i="6"/>
  <c r="J41" i="6"/>
  <c r="J29" i="6"/>
  <c r="J105" i="6"/>
  <c r="J186" i="6"/>
  <c r="J100" i="6"/>
  <c r="J152" i="6"/>
  <c r="J28" i="6"/>
  <c r="J170" i="6"/>
  <c r="J56" i="6"/>
  <c r="J57" i="6"/>
  <c r="J174" i="6"/>
  <c r="J6" i="6"/>
  <c r="J77" i="6"/>
  <c r="J96" i="6"/>
  <c r="J7" i="6"/>
  <c r="J70" i="6"/>
  <c r="J140" i="6"/>
  <c r="J3" i="6"/>
  <c r="J146" i="6"/>
  <c r="J168" i="6"/>
  <c r="J89" i="6"/>
  <c r="J117" i="6"/>
  <c r="J88" i="6"/>
  <c r="J50" i="6"/>
  <c r="J121" i="6"/>
  <c r="J44" i="6"/>
  <c r="J48" i="6"/>
  <c r="J94" i="6"/>
  <c r="J127" i="6"/>
  <c r="J181" i="6"/>
  <c r="J62" i="6"/>
  <c r="J26" i="6"/>
  <c r="J78" i="6"/>
  <c r="J115" i="6"/>
  <c r="J200" i="6"/>
  <c r="J35" i="6"/>
  <c r="J102" i="6"/>
  <c r="J11" i="6"/>
  <c r="J108" i="6"/>
  <c r="J132" i="6"/>
  <c r="J49" i="6"/>
  <c r="J91" i="6"/>
  <c r="J197" i="6"/>
  <c r="J198" i="6"/>
  <c r="J32" i="6"/>
  <c r="J179" i="6"/>
  <c r="J109" i="6"/>
  <c r="J80" i="6"/>
  <c r="J43" i="6"/>
  <c r="J178" i="6"/>
  <c r="J180" i="6"/>
  <c r="J87" i="6"/>
  <c r="J190" i="6"/>
  <c r="J199" i="6"/>
  <c r="J110" i="6"/>
  <c r="J124" i="6"/>
  <c r="J139" i="6"/>
  <c r="J159" i="6"/>
  <c r="C13" i="5"/>
  <c r="C37" i="5"/>
  <c r="K51" i="6" l="1"/>
  <c r="M51" i="6" s="1"/>
  <c r="K149" i="6"/>
  <c r="M149" i="6" s="1"/>
  <c r="K83" i="6"/>
  <c r="M83" i="6" s="1"/>
  <c r="K153" i="6"/>
  <c r="M153" i="6" s="1"/>
  <c r="K125" i="6"/>
  <c r="L125" i="6" s="1"/>
  <c r="K179" i="6"/>
  <c r="L179" i="6" s="1"/>
  <c r="K90" i="6"/>
  <c r="L90" i="6" s="1"/>
  <c r="K128" i="6"/>
  <c r="L128" i="6" s="1"/>
  <c r="K118" i="6"/>
  <c r="M118" i="6" s="1"/>
  <c r="K106" i="6"/>
  <c r="M106" i="6" s="1"/>
  <c r="K43" i="6"/>
  <c r="M43" i="6" s="1"/>
  <c r="K162" i="6"/>
  <c r="M162" i="6" s="1"/>
  <c r="K63" i="6"/>
  <c r="M63" i="6" s="1"/>
  <c r="K133" i="6"/>
  <c r="L133" i="6" s="1"/>
  <c r="K187" i="6"/>
  <c r="M187" i="6" s="1"/>
  <c r="K22" i="6"/>
  <c r="M22" i="6" s="1"/>
  <c r="K98" i="6"/>
  <c r="K161" i="6"/>
  <c r="M161" i="6" s="1"/>
  <c r="K121" i="6"/>
  <c r="M121" i="6" s="1"/>
  <c r="K156" i="6"/>
  <c r="M156" i="6" s="1"/>
  <c r="K135" i="6"/>
  <c r="M135" i="6" s="1"/>
  <c r="K19" i="6"/>
  <c r="L19" i="6" s="1"/>
  <c r="K114" i="6"/>
  <c r="M114" i="6" s="1"/>
  <c r="K30" i="6"/>
  <c r="M30" i="6" s="1"/>
  <c r="K143" i="6"/>
  <c r="L143" i="6" s="1"/>
  <c r="K101" i="6"/>
  <c r="M101" i="6" s="1"/>
  <c r="K75" i="6"/>
  <c r="M75" i="6" s="1"/>
  <c r="K31" i="6"/>
  <c r="M31" i="6" s="1"/>
  <c r="K77" i="6"/>
  <c r="L77" i="6" s="1"/>
  <c r="K154" i="6"/>
  <c r="M154" i="6" s="1"/>
  <c r="K45" i="6"/>
  <c r="M45" i="6" s="1"/>
  <c r="K80" i="6"/>
  <c r="M80" i="6" s="1"/>
  <c r="K57" i="6"/>
  <c r="L57" i="6" s="1"/>
  <c r="K54" i="6"/>
  <c r="L54" i="6" s="1"/>
  <c r="K142" i="6"/>
  <c r="M142" i="6" s="1"/>
  <c r="K61" i="6"/>
  <c r="M61" i="6" s="1"/>
  <c r="K74" i="6"/>
  <c r="M74" i="6" s="1"/>
  <c r="K62" i="6"/>
  <c r="M62" i="6" s="1"/>
  <c r="K181" i="6"/>
  <c r="M181" i="6" s="1"/>
  <c r="K193" i="6"/>
  <c r="M193" i="6" s="1"/>
  <c r="K55" i="6"/>
  <c r="M55" i="6" s="1"/>
  <c r="K146" i="6"/>
  <c r="M146" i="6" s="1"/>
  <c r="K67" i="6"/>
  <c r="M67" i="6" s="1"/>
  <c r="K58" i="6"/>
  <c r="M58" i="6" s="1"/>
  <c r="K60" i="6"/>
  <c r="M60" i="6" s="1"/>
  <c r="K197" i="6"/>
  <c r="M197" i="6" s="1"/>
  <c r="K126" i="6"/>
  <c r="L126" i="6" s="1"/>
  <c r="K107" i="6"/>
  <c r="M107" i="6" s="1"/>
  <c r="K180" i="6"/>
  <c r="M180" i="6" s="1"/>
  <c r="K176" i="6"/>
  <c r="M176" i="6" s="1"/>
  <c r="K8" i="6"/>
  <c r="L8" i="6" s="1"/>
  <c r="K152" i="6"/>
  <c r="M152" i="6" s="1"/>
  <c r="K41" i="6"/>
  <c r="M41" i="6" s="1"/>
  <c r="K20" i="6"/>
  <c r="M20" i="6" s="1"/>
  <c r="K26" i="6"/>
  <c r="M26" i="6" s="1"/>
  <c r="K39" i="6"/>
  <c r="M39" i="6" s="1"/>
  <c r="K177" i="6"/>
  <c r="L177" i="6" s="1"/>
  <c r="K184" i="6"/>
  <c r="M184" i="6" s="1"/>
  <c r="K138" i="6"/>
  <c r="M138" i="6" s="1"/>
  <c r="K185" i="6"/>
  <c r="M185" i="6" s="1"/>
  <c r="K113" i="6"/>
  <c r="M113" i="6" s="1"/>
  <c r="K73" i="6"/>
  <c r="M73" i="6" s="1"/>
  <c r="K7" i="6"/>
  <c r="M7" i="6" s="1"/>
  <c r="K111" i="6"/>
  <c r="M111" i="6" s="1"/>
  <c r="K91" i="6"/>
  <c r="M91" i="6" s="1"/>
  <c r="K136" i="6"/>
  <c r="M136" i="6" s="1"/>
  <c r="K195" i="6"/>
  <c r="M195" i="6" s="1"/>
  <c r="K97" i="6"/>
  <c r="M97" i="6" s="1"/>
  <c r="K13" i="6"/>
  <c r="M13" i="6" s="1"/>
  <c r="K76" i="6"/>
  <c r="M76" i="6" s="1"/>
  <c r="K42" i="6"/>
  <c r="M42" i="6" s="1"/>
  <c r="K200" i="6"/>
  <c r="M200" i="6" s="1"/>
  <c r="K95" i="6"/>
  <c r="M95" i="6" s="1"/>
  <c r="K163" i="6"/>
  <c r="M163" i="6" s="1"/>
  <c r="K14" i="6"/>
  <c r="L14" i="6" s="1"/>
  <c r="K10" i="6"/>
  <c r="M10" i="6" s="1"/>
  <c r="K11" i="6"/>
  <c r="M11" i="6" s="1"/>
  <c r="K86" i="6"/>
  <c r="M86" i="6" s="1"/>
  <c r="K127" i="6"/>
  <c r="M127" i="6" s="1"/>
  <c r="K103" i="6"/>
  <c r="M103" i="6" s="1"/>
  <c r="K89" i="6"/>
  <c r="K79" i="6"/>
  <c r="K21" i="6"/>
  <c r="M21" i="6" s="1"/>
  <c r="K196" i="6"/>
  <c r="M196" i="6" s="1"/>
  <c r="K105" i="6"/>
  <c r="M105" i="6" s="1"/>
  <c r="K164" i="6"/>
  <c r="M164" i="6" s="1"/>
  <c r="K189" i="6"/>
  <c r="M189" i="6" s="1"/>
  <c r="K52" i="6"/>
  <c r="L52" i="6" s="1"/>
  <c r="K3" i="6"/>
  <c r="M3" i="6" s="1"/>
  <c r="K47" i="6"/>
  <c r="M47" i="6" s="1"/>
  <c r="K169" i="6"/>
  <c r="M169" i="6" s="1"/>
  <c r="K110" i="6"/>
  <c r="M110" i="6" s="1"/>
  <c r="K82" i="6"/>
  <c r="M82" i="6" s="1"/>
  <c r="K198" i="6"/>
  <c r="M198" i="6" s="1"/>
  <c r="K35" i="6"/>
  <c r="M35" i="6" s="1"/>
  <c r="K159" i="6"/>
  <c r="M159" i="6" s="1"/>
  <c r="K33" i="6"/>
  <c r="M33" i="6" s="1"/>
  <c r="K16" i="6"/>
  <c r="M16" i="6" s="1"/>
  <c r="K38" i="6"/>
  <c r="M38" i="6" s="1"/>
  <c r="K100" i="6"/>
  <c r="M100" i="6" s="1"/>
  <c r="K87" i="6"/>
  <c r="M87" i="6" s="1"/>
  <c r="K139" i="6"/>
  <c r="M139" i="6" s="1"/>
  <c r="K12" i="6"/>
  <c r="M12" i="6" s="1"/>
  <c r="K144" i="6"/>
  <c r="M144" i="6" s="1"/>
  <c r="K166" i="6"/>
  <c r="L166" i="6" s="1"/>
  <c r="K37" i="6"/>
  <c r="M37" i="6" s="1"/>
  <c r="K2" i="6"/>
  <c r="M2" i="6" s="1"/>
  <c r="K49" i="6"/>
  <c r="M49" i="6" s="1"/>
  <c r="K109" i="6"/>
  <c r="M109" i="6" s="1"/>
  <c r="K132" i="6"/>
  <c r="M132" i="6" s="1"/>
  <c r="K108" i="6"/>
  <c r="M108" i="6" s="1"/>
  <c r="K5" i="6"/>
  <c r="M5" i="6" s="1"/>
  <c r="K122" i="6"/>
  <c r="M122" i="6" s="1"/>
  <c r="K44" i="6"/>
  <c r="M44" i="6" s="1"/>
  <c r="K27" i="6"/>
  <c r="M27" i="6" s="1"/>
  <c r="K160" i="6"/>
  <c r="L160" i="6" s="1"/>
  <c r="K183" i="6"/>
  <c r="M183" i="6" s="1"/>
  <c r="K69" i="6"/>
  <c r="M69" i="6" s="1"/>
  <c r="K191" i="6"/>
  <c r="M191" i="6" s="1"/>
  <c r="K32" i="6"/>
  <c r="M32" i="6" s="1"/>
  <c r="K167" i="6"/>
  <c r="M167" i="6" s="1"/>
  <c r="K53" i="6"/>
  <c r="M53" i="6" s="1"/>
  <c r="K18" i="6"/>
  <c r="M18" i="6" s="1"/>
  <c r="K147" i="6"/>
  <c r="L147" i="6" s="1"/>
  <c r="K141" i="6"/>
  <c r="L141" i="6" s="1"/>
  <c r="K140" i="6"/>
  <c r="L140" i="6" s="1"/>
  <c r="K25" i="6"/>
  <c r="M25" i="6" s="1"/>
  <c r="K170" i="6"/>
  <c r="M170" i="6" s="1"/>
  <c r="K123" i="6"/>
  <c r="M123" i="6" s="1"/>
  <c r="K137" i="6"/>
  <c r="M137" i="6" s="1"/>
  <c r="K186" i="6"/>
  <c r="L186" i="6" s="1"/>
  <c r="K148" i="6"/>
  <c r="M148" i="6" s="1"/>
  <c r="K28" i="6"/>
  <c r="M28" i="6" s="1"/>
  <c r="K158" i="6"/>
  <c r="M158" i="6" s="1"/>
  <c r="K88" i="6"/>
  <c r="L88" i="6" s="1"/>
  <c r="K117" i="6"/>
  <c r="M117" i="6" s="1"/>
  <c r="K85" i="6"/>
  <c r="L85" i="6" s="1"/>
  <c r="K155" i="6"/>
  <c r="L155" i="6" s="1"/>
  <c r="K194" i="6"/>
  <c r="M194" i="6" s="1"/>
  <c r="K71" i="6"/>
  <c r="L71" i="6" s="1"/>
  <c r="K50" i="6"/>
  <c r="L50" i="6" s="1"/>
  <c r="K116" i="6"/>
  <c r="M116" i="6" s="1"/>
  <c r="K4" i="6"/>
  <c r="M4" i="6" s="1"/>
  <c r="K171" i="6"/>
  <c r="M171" i="6" s="1"/>
  <c r="K9" i="6"/>
  <c r="L9" i="6" s="1"/>
  <c r="K178" i="6"/>
  <c r="M178" i="6" s="1"/>
  <c r="K29" i="6"/>
  <c r="M29" i="6" s="1"/>
  <c r="K94" i="6"/>
  <c r="M94" i="6" s="1"/>
  <c r="K145" i="6"/>
  <c r="L145" i="6" s="1"/>
  <c r="K102" i="6"/>
  <c r="M102" i="6" s="1"/>
  <c r="K59" i="6"/>
  <c r="L59" i="6" s="1"/>
  <c r="K23" i="6"/>
  <c r="M23" i="6" s="1"/>
  <c r="K165" i="6"/>
  <c r="M165" i="6" s="1"/>
  <c r="K78" i="6"/>
  <c r="M78" i="6" s="1"/>
  <c r="K173" i="6"/>
  <c r="L173" i="6" s="1"/>
  <c r="K104" i="6"/>
  <c r="M104" i="6" s="1"/>
  <c r="K36" i="6"/>
  <c r="M36" i="6" s="1"/>
  <c r="K150" i="6"/>
  <c r="M150" i="6" s="1"/>
  <c r="K168" i="6"/>
  <c r="L168" i="6" s="1"/>
  <c r="K40" i="6"/>
  <c r="M40" i="6" s="1"/>
  <c r="K68" i="6"/>
  <c r="M68" i="6" s="1"/>
  <c r="K192" i="6"/>
  <c r="M192" i="6" s="1"/>
  <c r="K84" i="6"/>
  <c r="M84" i="6" s="1"/>
  <c r="K134" i="6"/>
  <c r="L134" i="6" s="1"/>
  <c r="K65" i="6"/>
  <c r="M65" i="6" s="1"/>
  <c r="K175" i="6"/>
  <c r="M175" i="6" s="1"/>
  <c r="K120" i="6"/>
  <c r="M120" i="6" s="1"/>
  <c r="K99" i="6"/>
  <c r="M99" i="6" s="1"/>
  <c r="K72" i="6"/>
  <c r="M72" i="6" s="1"/>
  <c r="K151" i="6"/>
  <c r="M151" i="6" s="1"/>
  <c r="K131" i="6"/>
  <c r="M131" i="6" s="1"/>
  <c r="K190" i="6"/>
  <c r="L190" i="6" s="1"/>
  <c r="K115" i="6"/>
  <c r="M115" i="6" s="1"/>
  <c r="K172" i="6"/>
  <c r="M172" i="6" s="1"/>
  <c r="K24" i="6"/>
  <c r="M24" i="6" s="1"/>
  <c r="K15" i="6"/>
  <c r="M15" i="6" s="1"/>
  <c r="K130" i="6"/>
  <c r="L130" i="6" s="1"/>
  <c r="K17" i="6"/>
  <c r="M17" i="6" s="1"/>
  <c r="K6" i="6"/>
  <c r="M6" i="6" s="1"/>
  <c r="K46" i="6"/>
  <c r="M46" i="6" s="1"/>
  <c r="K112" i="6"/>
  <c r="M112" i="6" s="1"/>
  <c r="K129" i="6"/>
  <c r="M129" i="6" s="1"/>
  <c r="K96" i="6"/>
  <c r="L96" i="6" s="1"/>
  <c r="K124" i="6"/>
  <c r="M124" i="6" s="1"/>
  <c r="K92" i="6"/>
  <c r="M92" i="6" s="1"/>
  <c r="K64" i="6"/>
  <c r="L64" i="6" s="1"/>
  <c r="K182" i="6"/>
  <c r="L182" i="6" s="1"/>
  <c r="K199" i="6"/>
  <c r="L199" i="6" s="1"/>
  <c r="K93" i="6"/>
  <c r="L93" i="6" s="1"/>
  <c r="K56" i="6"/>
  <c r="M56" i="6" s="1"/>
  <c r="K81" i="6"/>
  <c r="M81" i="6" s="1"/>
  <c r="K174" i="6"/>
  <c r="L174" i="6" s="1"/>
  <c r="K188" i="6"/>
  <c r="M188" i="6" s="1"/>
  <c r="K119" i="6"/>
  <c r="M119" i="6" s="1"/>
  <c r="K157" i="6"/>
  <c r="M157" i="6" s="1"/>
  <c r="K34" i="6"/>
  <c r="M34" i="6" s="1"/>
  <c r="K70" i="6"/>
  <c r="M70" i="6" s="1"/>
  <c r="K66" i="6"/>
  <c r="L66" i="6" s="1"/>
  <c r="K48" i="6"/>
  <c r="M48" i="6" s="1"/>
  <c r="M59" i="6"/>
  <c r="L91" i="6"/>
  <c r="M89" i="6"/>
  <c r="L89" i="6"/>
  <c r="M143" i="6"/>
  <c r="C44" i="5"/>
  <c r="C14" i="5"/>
  <c r="C46" i="5" s="1"/>
  <c r="C48" i="5"/>
  <c r="C38" i="5"/>
  <c r="C39" i="5"/>
  <c r="C47" i="5"/>
  <c r="M79" i="6"/>
  <c r="L79" i="6"/>
  <c r="M9" i="6"/>
  <c r="M98" i="6"/>
  <c r="L98" i="6"/>
  <c r="M126" i="6" l="1"/>
  <c r="M168" i="6"/>
  <c r="L32" i="6"/>
  <c r="L15" i="6"/>
  <c r="L30" i="6"/>
  <c r="L2" i="6"/>
  <c r="N2" i="6" s="1"/>
  <c r="M85" i="6"/>
  <c r="N85" i="6" s="1"/>
  <c r="L189" i="6"/>
  <c r="O189" i="6" s="1"/>
  <c r="M174" i="6"/>
  <c r="N174" i="6" s="1"/>
  <c r="L39" i="6"/>
  <c r="O39" i="6" s="1"/>
  <c r="M57" i="6"/>
  <c r="N57" i="6" s="1"/>
  <c r="L33" i="6"/>
  <c r="N33" i="6" s="1"/>
  <c r="L25" i="6"/>
  <c r="N25" i="6" s="1"/>
  <c r="L35" i="6"/>
  <c r="N35" i="6" s="1"/>
  <c r="L45" i="6"/>
  <c r="N45" i="6" s="1"/>
  <c r="L123" i="6"/>
  <c r="N123" i="6" s="1"/>
  <c r="L180" i="6"/>
  <c r="O180" i="6" s="1"/>
  <c r="L188" i="6"/>
  <c r="M177" i="6"/>
  <c r="O177" i="6" s="1"/>
  <c r="M186" i="6"/>
  <c r="N186" i="6" s="1"/>
  <c r="L159" i="6"/>
  <c r="O159" i="6" s="1"/>
  <c r="L5" i="6"/>
  <c r="N5" i="6" s="1"/>
  <c r="L17" i="6"/>
  <c r="O17" i="6" s="1"/>
  <c r="L183" i="6"/>
  <c r="N183" i="6" s="1"/>
  <c r="L129" i="6"/>
  <c r="N129" i="6" s="1"/>
  <c r="M155" i="6"/>
  <c r="N155" i="6" s="1"/>
  <c r="L136" i="6"/>
  <c r="N136" i="6" s="1"/>
  <c r="L139" i="6"/>
  <c r="N139" i="6" s="1"/>
  <c r="M54" i="6"/>
  <c r="O54" i="6" s="1"/>
  <c r="L40" i="6"/>
  <c r="O40" i="6" s="1"/>
  <c r="L21" i="6"/>
  <c r="N21" i="6" s="1"/>
  <c r="L178" i="6"/>
  <c r="N178" i="6" s="1"/>
  <c r="L41" i="6"/>
  <c r="O41" i="6" s="1"/>
  <c r="M130" i="6"/>
  <c r="N130" i="6" s="1"/>
  <c r="L112" i="6"/>
  <c r="N112" i="6" s="1"/>
  <c r="L119" i="6"/>
  <c r="O119" i="6" s="1"/>
  <c r="L196" i="6"/>
  <c r="N196" i="6" s="1"/>
  <c r="L46" i="6"/>
  <c r="N46" i="6" s="1"/>
  <c r="L44" i="6"/>
  <c r="N44" i="6" s="1"/>
  <c r="L187" i="6"/>
  <c r="N187" i="6" s="1"/>
  <c r="L13" i="6"/>
  <c r="N13" i="6" s="1"/>
  <c r="L84" i="6"/>
  <c r="N84" i="6" s="1"/>
  <c r="L127" i="6"/>
  <c r="N127" i="6" s="1"/>
  <c r="L111" i="6"/>
  <c r="N111" i="6" s="1"/>
  <c r="L27" i="6"/>
  <c r="N27" i="6" s="1"/>
  <c r="L22" i="6"/>
  <c r="N22" i="6" s="1"/>
  <c r="L51" i="6"/>
  <c r="O51" i="6" s="1"/>
  <c r="L171" i="6"/>
  <c r="N171" i="6" s="1"/>
  <c r="L100" i="6"/>
  <c r="O100" i="6" s="1"/>
  <c r="L153" i="6"/>
  <c r="N153" i="6" s="1"/>
  <c r="L156" i="6"/>
  <c r="L68" i="6"/>
  <c r="N68" i="6" s="1"/>
  <c r="L118" i="6"/>
  <c r="N118" i="6" s="1"/>
  <c r="L83" i="6"/>
  <c r="N83" i="6" s="1"/>
  <c r="L146" i="6"/>
  <c r="N146" i="6" s="1"/>
  <c r="M134" i="6"/>
  <c r="N134" i="6" s="1"/>
  <c r="L61" i="6"/>
  <c r="N61" i="6" s="1"/>
  <c r="L65" i="6"/>
  <c r="N65" i="6" s="1"/>
  <c r="L137" i="6"/>
  <c r="N137" i="6" s="1"/>
  <c r="L36" i="6"/>
  <c r="N36" i="6" s="1"/>
  <c r="L195" i="6"/>
  <c r="O195" i="6" s="1"/>
  <c r="L152" i="6"/>
  <c r="N152" i="6" s="1"/>
  <c r="M160" i="6"/>
  <c r="N160" i="6" s="1"/>
  <c r="L38" i="6"/>
  <c r="N38" i="6" s="1"/>
  <c r="L170" i="6"/>
  <c r="O170" i="6" s="1"/>
  <c r="L151" i="6"/>
  <c r="N151" i="6" s="1"/>
  <c r="L48" i="6"/>
  <c r="N48" i="6" s="1"/>
  <c r="L16" i="6"/>
  <c r="N16" i="6" s="1"/>
  <c r="L135" i="6"/>
  <c r="O135" i="6" s="1"/>
  <c r="L175" i="6"/>
  <c r="N175" i="6" s="1"/>
  <c r="M71" i="6"/>
  <c r="O71" i="6" s="1"/>
  <c r="L99" i="6"/>
  <c r="N99" i="6" s="1"/>
  <c r="L28" i="6"/>
  <c r="O28" i="6" s="1"/>
  <c r="L49" i="6"/>
  <c r="N49" i="6" s="1"/>
  <c r="L131" i="6"/>
  <c r="N131" i="6" s="1"/>
  <c r="M125" i="6"/>
  <c r="N125" i="6" s="1"/>
  <c r="L142" i="6"/>
  <c r="N142" i="6" s="1"/>
  <c r="L176" i="6"/>
  <c r="N176" i="6" s="1"/>
  <c r="L163" i="6"/>
  <c r="N163" i="6" s="1"/>
  <c r="L165" i="6"/>
  <c r="O165" i="6" s="1"/>
  <c r="L4" i="6"/>
  <c r="N4" i="6" s="1"/>
  <c r="L148" i="6"/>
  <c r="N148" i="6" s="1"/>
  <c r="M8" i="6"/>
  <c r="O8" i="6" s="1"/>
  <c r="M145" i="6"/>
  <c r="O145" i="6" s="1"/>
  <c r="L169" i="6"/>
  <c r="N169" i="6" s="1"/>
  <c r="N143" i="6"/>
  <c r="O143" i="6"/>
  <c r="N98" i="6"/>
  <c r="O98" i="6"/>
  <c r="C42" i="5"/>
  <c r="C52" i="5" s="1"/>
  <c r="C53" i="5" s="1"/>
  <c r="M133" i="6"/>
  <c r="O133" i="6" s="1"/>
  <c r="L92" i="6"/>
  <c r="L167" i="6"/>
  <c r="L117" i="6"/>
  <c r="L101" i="6"/>
  <c r="L55" i="6"/>
  <c r="L75" i="6"/>
  <c r="L104" i="6"/>
  <c r="L42" i="6"/>
  <c r="L26" i="6"/>
  <c r="L34" i="6"/>
  <c r="L72" i="6"/>
  <c r="L76" i="6"/>
  <c r="L63" i="6"/>
  <c r="N79" i="6"/>
  <c r="O79" i="6"/>
  <c r="L162" i="6"/>
  <c r="L115" i="6"/>
  <c r="M141" i="6"/>
  <c r="N141" i="6" s="1"/>
  <c r="M140" i="6"/>
  <c r="N140" i="6" s="1"/>
  <c r="M199" i="6"/>
  <c r="N199" i="6" s="1"/>
  <c r="M128" i="6"/>
  <c r="N128" i="6" s="1"/>
  <c r="M14" i="6"/>
  <c r="N14" i="6" s="1"/>
  <c r="M77" i="6"/>
  <c r="N77" i="6" s="1"/>
  <c r="M147" i="6"/>
  <c r="N147" i="6" s="1"/>
  <c r="N177" i="6"/>
  <c r="N59" i="6"/>
  <c r="O59" i="6"/>
  <c r="L102" i="6"/>
  <c r="L184" i="6"/>
  <c r="M52" i="6"/>
  <c r="N52" i="6" s="1"/>
  <c r="M173" i="6"/>
  <c r="N173" i="6" s="1"/>
  <c r="M88" i="6"/>
  <c r="N88" i="6" s="1"/>
  <c r="M179" i="6"/>
  <c r="N179" i="6" s="1"/>
  <c r="M64" i="6"/>
  <c r="N64" i="6" s="1"/>
  <c r="M50" i="6"/>
  <c r="O50" i="6" s="1"/>
  <c r="M96" i="6"/>
  <c r="N96" i="6" s="1"/>
  <c r="M93" i="6"/>
  <c r="N93" i="6" s="1"/>
  <c r="M90" i="6"/>
  <c r="N90" i="6" s="1"/>
  <c r="M166" i="6"/>
  <c r="N166" i="6" s="1"/>
  <c r="M66" i="6"/>
  <c r="N66" i="6" s="1"/>
  <c r="M182" i="6"/>
  <c r="N182" i="6" s="1"/>
  <c r="N9" i="6"/>
  <c r="O9" i="6"/>
  <c r="L37" i="6"/>
  <c r="L144" i="6"/>
  <c r="L80" i="6"/>
  <c r="L114" i="6"/>
  <c r="L108" i="6"/>
  <c r="L106" i="6"/>
  <c r="L97" i="6"/>
  <c r="L132" i="6"/>
  <c r="L192" i="6"/>
  <c r="L103" i="6"/>
  <c r="L194" i="6"/>
  <c r="L24" i="6"/>
  <c r="L70" i="6"/>
  <c r="L164" i="6"/>
  <c r="L6" i="6"/>
  <c r="L181" i="6"/>
  <c r="L3" i="6"/>
  <c r="L154" i="6"/>
  <c r="L116" i="6"/>
  <c r="O85" i="6"/>
  <c r="N89" i="6"/>
  <c r="O89" i="6"/>
  <c r="N168" i="6"/>
  <c r="O168" i="6"/>
  <c r="L47" i="6"/>
  <c r="L191" i="6"/>
  <c r="L60" i="6"/>
  <c r="L87" i="6"/>
  <c r="L23" i="6"/>
  <c r="M190" i="6"/>
  <c r="N190" i="6" s="1"/>
  <c r="M19" i="6"/>
  <c r="N19" i="6" s="1"/>
  <c r="L122" i="6"/>
  <c r="L107" i="6"/>
  <c r="L69" i="6"/>
  <c r="L81" i="6"/>
  <c r="L113" i="6"/>
  <c r="L110" i="6"/>
  <c r="L67" i="6"/>
  <c r="L73" i="6"/>
  <c r="L124" i="6"/>
  <c r="L82" i="6"/>
  <c r="L149" i="6"/>
  <c r="L29" i="6"/>
  <c r="L10" i="6"/>
  <c r="L157" i="6"/>
  <c r="L31" i="6"/>
  <c r="L94" i="6"/>
  <c r="L58" i="6"/>
  <c r="L161" i="6"/>
  <c r="N32" i="6"/>
  <c r="O32" i="6"/>
  <c r="L172" i="6"/>
  <c r="N156" i="6"/>
  <c r="O156" i="6"/>
  <c r="N30" i="6"/>
  <c r="O30" i="6"/>
  <c r="L18" i="6"/>
  <c r="N126" i="6"/>
  <c r="O126" i="6"/>
  <c r="N188" i="6"/>
  <c r="O188" i="6"/>
  <c r="L120" i="6"/>
  <c r="L11" i="6"/>
  <c r="L197" i="6"/>
  <c r="L86" i="6"/>
  <c r="N91" i="6"/>
  <c r="O91" i="6"/>
  <c r="L20" i="6"/>
  <c r="N15" i="6"/>
  <c r="O15" i="6"/>
  <c r="L62" i="6"/>
  <c r="L105" i="6"/>
  <c r="L74" i="6"/>
  <c r="L95" i="6"/>
  <c r="L43" i="6"/>
  <c r="L193" i="6"/>
  <c r="L185" i="6"/>
  <c r="L158" i="6"/>
  <c r="L12" i="6"/>
  <c r="L56" i="6"/>
  <c r="L138" i="6"/>
  <c r="L109" i="6"/>
  <c r="L150" i="6"/>
  <c r="L121" i="6"/>
  <c r="L78" i="6"/>
  <c r="L53" i="6"/>
  <c r="L198" i="6"/>
  <c r="L7" i="6"/>
  <c r="L200" i="6"/>
  <c r="N159" i="6" l="1"/>
  <c r="O2" i="6"/>
  <c r="O33" i="6"/>
  <c r="N189" i="6"/>
  <c r="Y189" i="6" s="1"/>
  <c r="O35" i="6"/>
  <c r="V35" i="6" s="1"/>
  <c r="O125" i="6"/>
  <c r="Z125" i="6" s="1"/>
  <c r="O111" i="6"/>
  <c r="Z111" i="6" s="1"/>
  <c r="O139" i="6"/>
  <c r="Z139" i="6" s="1"/>
  <c r="O57" i="6"/>
  <c r="N39" i="6"/>
  <c r="U39" i="6" s="1"/>
  <c r="W39" i="6" s="1"/>
  <c r="N180" i="6"/>
  <c r="Y180" i="6" s="1"/>
  <c r="N170" i="6"/>
  <c r="Y170" i="6" s="1"/>
  <c r="O4" i="6"/>
  <c r="Z4" i="6" s="1"/>
  <c r="O25" i="6"/>
  <c r="V25" i="6" s="1"/>
  <c r="N54" i="6"/>
  <c r="Y54" i="6" s="1"/>
  <c r="O174" i="6"/>
  <c r="Z174" i="6" s="1"/>
  <c r="O45" i="6"/>
  <c r="Z45" i="6" s="1"/>
  <c r="O186" i="6"/>
  <c r="V186" i="6" s="1"/>
  <c r="O178" i="6"/>
  <c r="Z178" i="6" s="1"/>
  <c r="N41" i="6"/>
  <c r="Y41" i="6" s="1"/>
  <c r="O21" i="6"/>
  <c r="Z21" i="6" s="1"/>
  <c r="O148" i="6"/>
  <c r="Z148" i="6" s="1"/>
  <c r="N51" i="6"/>
  <c r="Y51" i="6" s="1"/>
  <c r="O171" i="6"/>
  <c r="V171" i="6" s="1"/>
  <c r="N40" i="6"/>
  <c r="Y40" i="6" s="1"/>
  <c r="N8" i="6"/>
  <c r="U8" i="6" s="1"/>
  <c r="W8" i="6" s="1"/>
  <c r="N100" i="6"/>
  <c r="Y100" i="6" s="1"/>
  <c r="O123" i="6"/>
  <c r="Z123" i="6" s="1"/>
  <c r="N195" i="6"/>
  <c r="U195" i="6" s="1"/>
  <c r="W195" i="6" s="1"/>
  <c r="O151" i="6"/>
  <c r="V151" i="6" s="1"/>
  <c r="O136" i="6"/>
  <c r="Z136" i="6" s="1"/>
  <c r="O13" i="6"/>
  <c r="Z13" i="6" s="1"/>
  <c r="N17" i="6"/>
  <c r="Y17" i="6" s="1"/>
  <c r="O61" i="6"/>
  <c r="Z61" i="6" s="1"/>
  <c r="O187" i="6"/>
  <c r="V187" i="6" s="1"/>
  <c r="O5" i="6"/>
  <c r="V5" i="6" s="1"/>
  <c r="N28" i="6"/>
  <c r="U28" i="6" s="1"/>
  <c r="W28" i="6" s="1"/>
  <c r="O84" i="6"/>
  <c r="Z84" i="6" s="1"/>
  <c r="O131" i="6"/>
  <c r="V131" i="6" s="1"/>
  <c r="O137" i="6"/>
  <c r="Z137" i="6" s="1"/>
  <c r="O129" i="6"/>
  <c r="Z129" i="6" s="1"/>
  <c r="O155" i="6"/>
  <c r="Z155" i="6" s="1"/>
  <c r="O127" i="6"/>
  <c r="Z127" i="6" s="1"/>
  <c r="O183" i="6"/>
  <c r="Z183" i="6" s="1"/>
  <c r="O48" i="6"/>
  <c r="Z48" i="6" s="1"/>
  <c r="O169" i="6"/>
  <c r="V169" i="6" s="1"/>
  <c r="O22" i="6"/>
  <c r="Z22" i="6" s="1"/>
  <c r="O44" i="6"/>
  <c r="V44" i="6" s="1"/>
  <c r="O196" i="6"/>
  <c r="Z196" i="6" s="1"/>
  <c r="O118" i="6"/>
  <c r="V118" i="6" s="1"/>
  <c r="O146" i="6"/>
  <c r="Z146" i="6" s="1"/>
  <c r="N133" i="6"/>
  <c r="U133" i="6" s="1"/>
  <c r="W133" i="6" s="1"/>
  <c r="N135" i="6"/>
  <c r="Y135" i="6" s="1"/>
  <c r="N145" i="6"/>
  <c r="Y145" i="6" s="1"/>
  <c r="N119" i="6"/>
  <c r="Y119" i="6" s="1"/>
  <c r="O16" i="6"/>
  <c r="Z16" i="6" s="1"/>
  <c r="O153" i="6"/>
  <c r="Z153" i="6" s="1"/>
  <c r="O88" i="6"/>
  <c r="Z88" i="6" s="1"/>
  <c r="N71" i="6"/>
  <c r="Y71" i="6" s="1"/>
  <c r="O27" i="6"/>
  <c r="Z27" i="6" s="1"/>
  <c r="O68" i="6"/>
  <c r="V68" i="6" s="1"/>
  <c r="O130" i="6"/>
  <c r="Z130" i="6" s="1"/>
  <c r="O112" i="6"/>
  <c r="V112" i="6" s="1"/>
  <c r="O96" i="6"/>
  <c r="Z96" i="6" s="1"/>
  <c r="O46" i="6"/>
  <c r="Z46" i="6" s="1"/>
  <c r="O83" i="6"/>
  <c r="Z83" i="6" s="1"/>
  <c r="O175" i="6"/>
  <c r="V175" i="6" s="1"/>
  <c r="O147" i="6"/>
  <c r="V147" i="6" s="1"/>
  <c r="N50" i="6"/>
  <c r="Y50" i="6" s="1"/>
  <c r="N165" i="6"/>
  <c r="Y165" i="6" s="1"/>
  <c r="O128" i="6"/>
  <c r="Z128" i="6" s="1"/>
  <c r="O38" i="6"/>
  <c r="V38" i="6" s="1"/>
  <c r="O163" i="6"/>
  <c r="Z163" i="6" s="1"/>
  <c r="O134" i="6"/>
  <c r="Z134" i="6" s="1"/>
  <c r="O160" i="6"/>
  <c r="Z160" i="6" s="1"/>
  <c r="O142" i="6"/>
  <c r="V142" i="6" s="1"/>
  <c r="O36" i="6"/>
  <c r="Z36" i="6" s="1"/>
  <c r="O176" i="6"/>
  <c r="Z176" i="6" s="1"/>
  <c r="O65" i="6"/>
  <c r="Z65" i="6" s="1"/>
  <c r="O99" i="6"/>
  <c r="Z99" i="6" s="1"/>
  <c r="O49" i="6"/>
  <c r="V49" i="6" s="1"/>
  <c r="O179" i="6"/>
  <c r="V179" i="6" s="1"/>
  <c r="O152" i="6"/>
  <c r="Z152" i="6" s="1"/>
  <c r="Y147" i="6"/>
  <c r="U147" i="6"/>
  <c r="W147" i="6" s="1"/>
  <c r="Y77" i="6"/>
  <c r="U77" i="6"/>
  <c r="W77" i="6" s="1"/>
  <c r="Y190" i="6"/>
  <c r="U190" i="6"/>
  <c r="W190" i="6" s="1"/>
  <c r="Y93" i="6"/>
  <c r="U93" i="6"/>
  <c r="W93" i="6" s="1"/>
  <c r="U166" i="6"/>
  <c r="W166" i="6" s="1"/>
  <c r="Y166" i="6"/>
  <c r="Y141" i="6"/>
  <c r="U141" i="6"/>
  <c r="W141" i="6" s="1"/>
  <c r="U64" i="6"/>
  <c r="W64" i="6" s="1"/>
  <c r="Y64" i="6"/>
  <c r="Y19" i="6"/>
  <c r="U19" i="6"/>
  <c r="W19" i="6" s="1"/>
  <c r="U173" i="6"/>
  <c r="W173" i="6" s="1"/>
  <c r="Y173" i="6"/>
  <c r="Y52" i="6"/>
  <c r="U52" i="6"/>
  <c r="W52" i="6" s="1"/>
  <c r="Y182" i="6"/>
  <c r="U182" i="6"/>
  <c r="W182" i="6" s="1"/>
  <c r="Y14" i="6"/>
  <c r="U14" i="6"/>
  <c r="W14" i="6" s="1"/>
  <c r="U66" i="6"/>
  <c r="W66" i="6" s="1"/>
  <c r="Y66" i="6"/>
  <c r="Y199" i="6"/>
  <c r="U199" i="6"/>
  <c r="W199" i="6" s="1"/>
  <c r="Y90" i="6"/>
  <c r="U90" i="6"/>
  <c r="W90" i="6" s="1"/>
  <c r="Y140" i="6"/>
  <c r="U140" i="6"/>
  <c r="W140" i="6" s="1"/>
  <c r="Y96" i="6"/>
  <c r="U96" i="6"/>
  <c r="W96" i="6" s="1"/>
  <c r="N150" i="6"/>
  <c r="O150" i="6"/>
  <c r="Y44" i="6"/>
  <c r="U44" i="6"/>
  <c r="W44" i="6" s="1"/>
  <c r="Y142" i="6"/>
  <c r="U142" i="6"/>
  <c r="W142" i="6" s="1"/>
  <c r="Y68" i="6"/>
  <c r="U68" i="6"/>
  <c r="W68" i="6" s="1"/>
  <c r="U177" i="6"/>
  <c r="W177" i="6" s="1"/>
  <c r="Y177" i="6"/>
  <c r="N138" i="6"/>
  <c r="O138" i="6"/>
  <c r="N81" i="6"/>
  <c r="O81" i="6"/>
  <c r="Y168" i="6"/>
  <c r="U168" i="6"/>
  <c r="W168" i="6" s="1"/>
  <c r="Y131" i="6"/>
  <c r="U131" i="6"/>
  <c r="W131" i="6" s="1"/>
  <c r="Z2" i="6"/>
  <c r="V2" i="6"/>
  <c r="O173" i="6"/>
  <c r="O52" i="6"/>
  <c r="N56" i="6"/>
  <c r="O56" i="6"/>
  <c r="Y174" i="6"/>
  <c r="U174" i="6"/>
  <c r="W174" i="6" s="1"/>
  <c r="Y196" i="6"/>
  <c r="U196" i="6"/>
  <c r="W196" i="6" s="1"/>
  <c r="V89" i="6"/>
  <c r="Z89" i="6"/>
  <c r="N3" i="6"/>
  <c r="O3" i="6"/>
  <c r="U2" i="6"/>
  <c r="W2" i="6" s="1"/>
  <c r="Y2" i="6"/>
  <c r="N102" i="6"/>
  <c r="O102" i="6"/>
  <c r="Y49" i="6"/>
  <c r="U49" i="6"/>
  <c r="W49" i="6" s="1"/>
  <c r="Y127" i="6"/>
  <c r="U127" i="6"/>
  <c r="W127" i="6" s="1"/>
  <c r="N12" i="6"/>
  <c r="O12" i="6"/>
  <c r="Z91" i="6"/>
  <c r="V91" i="6"/>
  <c r="Z54" i="6"/>
  <c r="V54" i="6"/>
  <c r="Y118" i="6"/>
  <c r="U118" i="6"/>
  <c r="W118" i="6" s="1"/>
  <c r="N161" i="6"/>
  <c r="O161" i="6"/>
  <c r="N107" i="6"/>
  <c r="O107" i="6"/>
  <c r="Y89" i="6"/>
  <c r="U89" i="6"/>
  <c r="W89" i="6" s="1"/>
  <c r="N181" i="6"/>
  <c r="O181" i="6"/>
  <c r="Z195" i="6"/>
  <c r="V195" i="6"/>
  <c r="Y48" i="6"/>
  <c r="U48" i="6"/>
  <c r="W48" i="6" s="1"/>
  <c r="N76" i="6"/>
  <c r="O76" i="6"/>
  <c r="N75" i="6"/>
  <c r="O75" i="6"/>
  <c r="O93" i="6"/>
  <c r="O182" i="6"/>
  <c r="O64" i="6"/>
  <c r="N110" i="6"/>
  <c r="O110" i="6"/>
  <c r="Y84" i="6"/>
  <c r="U84" i="6"/>
  <c r="W84" i="6" s="1"/>
  <c r="Y57" i="6"/>
  <c r="U57" i="6"/>
  <c r="W57" i="6" s="1"/>
  <c r="N144" i="6"/>
  <c r="O144" i="6"/>
  <c r="N184" i="6"/>
  <c r="O184" i="6"/>
  <c r="Y65" i="6"/>
  <c r="U65" i="6"/>
  <c r="W65" i="6" s="1"/>
  <c r="O19" i="6"/>
  <c r="Y186" i="6"/>
  <c r="U186" i="6"/>
  <c r="W186" i="6" s="1"/>
  <c r="Y126" i="6"/>
  <c r="U126" i="6"/>
  <c r="W126" i="6" s="1"/>
  <c r="N69" i="6"/>
  <c r="O69" i="6"/>
  <c r="N116" i="6"/>
  <c r="O116" i="6"/>
  <c r="N37" i="6"/>
  <c r="O37" i="6"/>
  <c r="Y99" i="6"/>
  <c r="U99" i="6"/>
  <c r="W99" i="6" s="1"/>
  <c r="N104" i="6"/>
  <c r="O104" i="6"/>
  <c r="Z119" i="6"/>
  <c r="V119" i="6"/>
  <c r="N158" i="6"/>
  <c r="O158" i="6"/>
  <c r="Y91" i="6"/>
  <c r="U91" i="6"/>
  <c r="W91" i="6" s="1"/>
  <c r="Z156" i="6"/>
  <c r="V156" i="6"/>
  <c r="N58" i="6"/>
  <c r="O58" i="6"/>
  <c r="N122" i="6"/>
  <c r="O122" i="6"/>
  <c r="Z51" i="6"/>
  <c r="V51" i="6"/>
  <c r="Y22" i="6"/>
  <c r="U22" i="6"/>
  <c r="W22" i="6" s="1"/>
  <c r="N6" i="6"/>
  <c r="O6" i="6"/>
  <c r="Y178" i="6"/>
  <c r="U178" i="6"/>
  <c r="W178" i="6" s="1"/>
  <c r="U155" i="6"/>
  <c r="W155" i="6" s="1"/>
  <c r="Y155" i="6"/>
  <c r="V79" i="6"/>
  <c r="Z79" i="6"/>
  <c r="N72" i="6"/>
  <c r="O72" i="6"/>
  <c r="Y139" i="6"/>
  <c r="U139" i="6"/>
  <c r="W139" i="6" s="1"/>
  <c r="Y125" i="6"/>
  <c r="U125" i="6"/>
  <c r="W125" i="6" s="1"/>
  <c r="Y36" i="6"/>
  <c r="U36" i="6"/>
  <c r="W36" i="6" s="1"/>
  <c r="N185" i="6"/>
  <c r="O185" i="6"/>
  <c r="N18" i="6"/>
  <c r="O18" i="6"/>
  <c r="Y156" i="6"/>
  <c r="U156" i="6"/>
  <c r="W156" i="6" s="1"/>
  <c r="N94" i="6"/>
  <c r="O94" i="6"/>
  <c r="N164" i="6"/>
  <c r="O164" i="6"/>
  <c r="Z9" i="6"/>
  <c r="V9" i="6"/>
  <c r="Y79" i="6"/>
  <c r="U79" i="6"/>
  <c r="W79" i="6" s="1"/>
  <c r="Y38" i="6"/>
  <c r="U38" i="6"/>
  <c r="W38" i="6" s="1"/>
  <c r="Z8" i="6"/>
  <c r="V8" i="6"/>
  <c r="O90" i="6"/>
  <c r="Y16" i="6"/>
  <c r="U16" i="6"/>
  <c r="W16" i="6" s="1"/>
  <c r="N193" i="6"/>
  <c r="O193" i="6"/>
  <c r="Y61" i="6"/>
  <c r="U61" i="6"/>
  <c r="W61" i="6" s="1"/>
  <c r="N172" i="6"/>
  <c r="O172" i="6"/>
  <c r="N31" i="6"/>
  <c r="O31" i="6"/>
  <c r="U146" i="6"/>
  <c r="W146" i="6" s="1"/>
  <c r="Y146" i="6"/>
  <c r="N70" i="6"/>
  <c r="O70" i="6"/>
  <c r="Y9" i="6"/>
  <c r="U9" i="6"/>
  <c r="W9" i="6" s="1"/>
  <c r="U151" i="6"/>
  <c r="W151" i="6" s="1"/>
  <c r="Y151" i="6"/>
  <c r="U111" i="6"/>
  <c r="W111" i="6" s="1"/>
  <c r="Y111" i="6"/>
  <c r="N55" i="6"/>
  <c r="O55" i="6"/>
  <c r="Y21" i="6"/>
  <c r="U21" i="6"/>
  <c r="W21" i="6" s="1"/>
  <c r="Y4" i="6"/>
  <c r="U4" i="6"/>
  <c r="W4" i="6" s="1"/>
  <c r="N114" i="6"/>
  <c r="O114" i="6"/>
  <c r="N109" i="6"/>
  <c r="O109" i="6"/>
  <c r="N80" i="6"/>
  <c r="O80" i="6"/>
  <c r="N43" i="6"/>
  <c r="O43" i="6"/>
  <c r="N157" i="6"/>
  <c r="O157" i="6"/>
  <c r="U183" i="6"/>
  <c r="W183" i="6" s="1"/>
  <c r="Y183" i="6"/>
  <c r="Z165" i="6"/>
  <c r="V165" i="6"/>
  <c r="Y153" i="6"/>
  <c r="U153" i="6"/>
  <c r="W153" i="6" s="1"/>
  <c r="Z28" i="6"/>
  <c r="V28" i="6"/>
  <c r="Z85" i="6"/>
  <c r="V85" i="6"/>
  <c r="N86" i="6"/>
  <c r="O86" i="6"/>
  <c r="N60" i="6"/>
  <c r="O60" i="6"/>
  <c r="N103" i="6"/>
  <c r="O103" i="6"/>
  <c r="V59" i="6"/>
  <c r="Z59" i="6"/>
  <c r="Y130" i="6"/>
  <c r="U130" i="6"/>
  <c r="W130" i="6" s="1"/>
  <c r="N7" i="6"/>
  <c r="O7" i="6"/>
  <c r="Z33" i="6"/>
  <c r="V33" i="6"/>
  <c r="N191" i="6"/>
  <c r="O191" i="6"/>
  <c r="N192" i="6"/>
  <c r="O192" i="6"/>
  <c r="Y59" i="6"/>
  <c r="U59" i="6"/>
  <c r="W59" i="6" s="1"/>
  <c r="V100" i="6"/>
  <c r="Z100" i="6"/>
  <c r="N92" i="6"/>
  <c r="O92" i="6"/>
  <c r="Y179" i="6"/>
  <c r="U179" i="6"/>
  <c r="W179" i="6" s="1"/>
  <c r="Y143" i="6"/>
  <c r="U143" i="6"/>
  <c r="W143" i="6" s="1"/>
  <c r="Y187" i="6"/>
  <c r="U187" i="6"/>
  <c r="W187" i="6" s="1"/>
  <c r="Z71" i="6"/>
  <c r="V71" i="6"/>
  <c r="U170" i="6"/>
  <c r="W170" i="6" s="1"/>
  <c r="Z168" i="6"/>
  <c r="V168" i="6"/>
  <c r="Y128" i="6"/>
  <c r="U128" i="6"/>
  <c r="W128" i="6" s="1"/>
  <c r="Z126" i="6"/>
  <c r="V126" i="6"/>
  <c r="Y169" i="6"/>
  <c r="U169" i="6"/>
  <c r="W169" i="6" s="1"/>
  <c r="Y123" i="6"/>
  <c r="U123" i="6"/>
  <c r="W123" i="6" s="1"/>
  <c r="N23" i="6"/>
  <c r="O23" i="6"/>
  <c r="Z41" i="6"/>
  <c r="V41" i="6"/>
  <c r="Z17" i="6"/>
  <c r="V17" i="6"/>
  <c r="Z50" i="6"/>
  <c r="V50" i="6"/>
  <c r="U189" i="6"/>
  <c r="W189" i="6" s="1"/>
  <c r="Y13" i="6"/>
  <c r="U13" i="6"/>
  <c r="W13" i="6" s="1"/>
  <c r="Y46" i="6"/>
  <c r="U46" i="6"/>
  <c r="W46" i="6" s="1"/>
  <c r="Y88" i="6"/>
  <c r="U88" i="6"/>
  <c r="W88" i="6" s="1"/>
  <c r="N74" i="6"/>
  <c r="O74" i="6"/>
  <c r="N29" i="6"/>
  <c r="O29" i="6"/>
  <c r="Y85" i="6"/>
  <c r="U85" i="6"/>
  <c r="W85" i="6" s="1"/>
  <c r="Z135" i="6"/>
  <c r="V135" i="6"/>
  <c r="Z143" i="6"/>
  <c r="V143" i="6"/>
  <c r="N105" i="6"/>
  <c r="O105" i="6"/>
  <c r="N197" i="6"/>
  <c r="O197" i="6"/>
  <c r="Y32" i="6"/>
  <c r="U32" i="6"/>
  <c r="W32" i="6" s="1"/>
  <c r="N149" i="6"/>
  <c r="O149" i="6"/>
  <c r="U159" i="6"/>
  <c r="W159" i="6" s="1"/>
  <c r="Y159" i="6"/>
  <c r="Y148" i="6"/>
  <c r="U148" i="6"/>
  <c r="W148" i="6" s="1"/>
  <c r="Y25" i="6"/>
  <c r="U25" i="6"/>
  <c r="W25" i="6" s="1"/>
  <c r="N198" i="6"/>
  <c r="O198" i="6"/>
  <c r="N62" i="6"/>
  <c r="O62" i="6"/>
  <c r="N11" i="6"/>
  <c r="O11" i="6"/>
  <c r="U33" i="6"/>
  <c r="W33" i="6" s="1"/>
  <c r="Y33" i="6"/>
  <c r="N82" i="6"/>
  <c r="O82" i="6"/>
  <c r="U27" i="6"/>
  <c r="W27" i="6" s="1"/>
  <c r="Y27" i="6"/>
  <c r="N154" i="6"/>
  <c r="O154" i="6"/>
  <c r="N132" i="6"/>
  <c r="O132" i="6"/>
  <c r="N34" i="6"/>
  <c r="O34" i="6"/>
  <c r="O140" i="6"/>
  <c r="O66" i="6"/>
  <c r="O199" i="6"/>
  <c r="O166" i="6"/>
  <c r="U171" i="6"/>
  <c r="W171" i="6" s="1"/>
  <c r="Y171" i="6"/>
  <c r="Y112" i="6"/>
  <c r="U112" i="6"/>
  <c r="W112" i="6" s="1"/>
  <c r="N113" i="6"/>
  <c r="O113" i="6"/>
  <c r="U5" i="6"/>
  <c r="W5" i="6" s="1"/>
  <c r="Y5" i="6"/>
  <c r="Z189" i="6"/>
  <c r="V189" i="6"/>
  <c r="N101" i="6"/>
  <c r="O101" i="6"/>
  <c r="N95" i="6"/>
  <c r="O95" i="6"/>
  <c r="N194" i="6"/>
  <c r="O194" i="6"/>
  <c r="Y136" i="6"/>
  <c r="U136" i="6"/>
  <c r="W136" i="6" s="1"/>
  <c r="Y28" i="6"/>
  <c r="N167" i="6"/>
  <c r="O167" i="6"/>
  <c r="Z15" i="6"/>
  <c r="V15" i="6"/>
  <c r="N124" i="6"/>
  <c r="O124" i="6"/>
  <c r="N97" i="6"/>
  <c r="O97" i="6"/>
  <c r="Y83" i="6"/>
  <c r="U83" i="6"/>
  <c r="W83" i="6" s="1"/>
  <c r="Y163" i="6"/>
  <c r="U163" i="6"/>
  <c r="W163" i="6" s="1"/>
  <c r="Z39" i="6"/>
  <c r="V39" i="6"/>
  <c r="N26" i="6"/>
  <c r="O26" i="6"/>
  <c r="D13" i="5"/>
  <c r="D37" i="5"/>
  <c r="N162" i="6"/>
  <c r="O162" i="6"/>
  <c r="N20" i="6"/>
  <c r="O20" i="6"/>
  <c r="Z40" i="6"/>
  <c r="V40" i="6"/>
  <c r="Z180" i="6"/>
  <c r="V180" i="6"/>
  <c r="N24" i="6"/>
  <c r="O24" i="6"/>
  <c r="Z145" i="6"/>
  <c r="V145" i="6"/>
  <c r="N87" i="6"/>
  <c r="O87" i="6"/>
  <c r="N117" i="6"/>
  <c r="O117" i="6"/>
  <c r="N200" i="6"/>
  <c r="O200" i="6"/>
  <c r="Z159" i="6"/>
  <c r="V159" i="6"/>
  <c r="N120" i="6"/>
  <c r="O120" i="6"/>
  <c r="Y175" i="6"/>
  <c r="U175" i="6"/>
  <c r="W175" i="6" s="1"/>
  <c r="N78" i="6"/>
  <c r="O78" i="6"/>
  <c r="Z188" i="6"/>
  <c r="V188" i="6"/>
  <c r="Y30" i="6"/>
  <c r="U30" i="6"/>
  <c r="W30" i="6" s="1"/>
  <c r="N73" i="6"/>
  <c r="O73" i="6"/>
  <c r="N47" i="6"/>
  <c r="O47" i="6"/>
  <c r="Y176" i="6"/>
  <c r="U176" i="6"/>
  <c r="W176" i="6" s="1"/>
  <c r="Y152" i="6"/>
  <c r="U152" i="6"/>
  <c r="W152" i="6" s="1"/>
  <c r="N106" i="6"/>
  <c r="O106" i="6"/>
  <c r="Y39" i="6"/>
  <c r="Y160" i="6"/>
  <c r="U160" i="6"/>
  <c r="W160" i="6" s="1"/>
  <c r="N42" i="6"/>
  <c r="O42" i="6"/>
  <c r="V98" i="6"/>
  <c r="Z98" i="6"/>
  <c r="O190" i="6"/>
  <c r="O14" i="6"/>
  <c r="O77" i="6"/>
  <c r="O141" i="6"/>
  <c r="V170" i="6"/>
  <c r="Z170" i="6"/>
  <c r="Z177" i="6"/>
  <c r="V177" i="6"/>
  <c r="V57" i="6"/>
  <c r="Z57" i="6"/>
  <c r="Y134" i="6"/>
  <c r="U134" i="6"/>
  <c r="W134" i="6" s="1"/>
  <c r="N10" i="6"/>
  <c r="O10" i="6"/>
  <c r="Z32" i="6"/>
  <c r="V32" i="6"/>
  <c r="V133" i="6"/>
  <c r="Z133" i="6"/>
  <c r="N53" i="6"/>
  <c r="O53" i="6"/>
  <c r="Z30" i="6"/>
  <c r="V30" i="6"/>
  <c r="Y35" i="6"/>
  <c r="U35" i="6"/>
  <c r="W35" i="6" s="1"/>
  <c r="Y15" i="6"/>
  <c r="U15" i="6"/>
  <c r="W15" i="6" s="1"/>
  <c r="N121" i="6"/>
  <c r="O121" i="6"/>
  <c r="Y188" i="6"/>
  <c r="U188" i="6"/>
  <c r="W188" i="6" s="1"/>
  <c r="Y129" i="6"/>
  <c r="U129" i="6"/>
  <c r="W129" i="6" s="1"/>
  <c r="N67" i="6"/>
  <c r="O67" i="6"/>
  <c r="N108" i="6"/>
  <c r="O108" i="6"/>
  <c r="U137" i="6"/>
  <c r="W137" i="6" s="1"/>
  <c r="Y137" i="6"/>
  <c r="Y45" i="6"/>
  <c r="U45" i="6"/>
  <c r="W45" i="6" s="1"/>
  <c r="N115" i="6"/>
  <c r="O115" i="6"/>
  <c r="N63" i="6"/>
  <c r="O63" i="6"/>
  <c r="U98" i="6"/>
  <c r="W98" i="6" s="1"/>
  <c r="Y98" i="6"/>
  <c r="U180" i="6" l="1"/>
  <c r="W180" i="6" s="1"/>
  <c r="Z171" i="6"/>
  <c r="U50" i="6"/>
  <c r="W50" i="6" s="1"/>
  <c r="Z35" i="6"/>
  <c r="V16" i="6"/>
  <c r="V137" i="6"/>
  <c r="V139" i="6"/>
  <c r="U135" i="6"/>
  <c r="W135" i="6" s="1"/>
  <c r="V21" i="6"/>
  <c r="U54" i="6"/>
  <c r="W54" i="6" s="1"/>
  <c r="U145" i="6"/>
  <c r="W145" i="6" s="1"/>
  <c r="V125" i="6"/>
  <c r="V136" i="6"/>
  <c r="Z25" i="6"/>
  <c r="Z44" i="6"/>
  <c r="V148" i="6"/>
  <c r="V111" i="6"/>
  <c r="Z112" i="6"/>
  <c r="V128" i="6"/>
  <c r="U119" i="6"/>
  <c r="W119" i="6" s="1"/>
  <c r="V13" i="6"/>
  <c r="Z151" i="6"/>
  <c r="V84" i="6"/>
  <c r="U165" i="6"/>
  <c r="W165" i="6" s="1"/>
  <c r="V176" i="6"/>
  <c r="V130" i="6"/>
  <c r="U100" i="6"/>
  <c r="W100" i="6" s="1"/>
  <c r="V174" i="6"/>
  <c r="Y133" i="6"/>
  <c r="U41" i="6"/>
  <c r="W41" i="6" s="1"/>
  <c r="V178" i="6"/>
  <c r="Z187" i="6"/>
  <c r="V152" i="6"/>
  <c r="Z147" i="6"/>
  <c r="V83" i="6"/>
  <c r="Z169" i="6"/>
  <c r="Z5" i="6"/>
  <c r="V146" i="6"/>
  <c r="Z175" i="6"/>
  <c r="V4" i="6"/>
  <c r="V45" i="6"/>
  <c r="Z186" i="6"/>
  <c r="U51" i="6"/>
  <c r="W51" i="6" s="1"/>
  <c r="Z118" i="6"/>
  <c r="Y8" i="6"/>
  <c r="U40" i="6"/>
  <c r="W40" i="6" s="1"/>
  <c r="Z179" i="6"/>
  <c r="Z131" i="6"/>
  <c r="V129" i="6"/>
  <c r="V61" i="6"/>
  <c r="Z38" i="6"/>
  <c r="V99" i="6"/>
  <c r="Y195" i="6"/>
  <c r="Z49" i="6"/>
  <c r="V46" i="6"/>
  <c r="V196" i="6"/>
  <c r="V96" i="6"/>
  <c r="V123" i="6"/>
  <c r="V22" i="6"/>
  <c r="U17" i="6"/>
  <c r="W17" i="6" s="1"/>
  <c r="V183" i="6"/>
  <c r="V48" i="6"/>
  <c r="U71" i="6"/>
  <c r="W71" i="6" s="1"/>
  <c r="V88" i="6"/>
  <c r="V127" i="6"/>
  <c r="V155" i="6"/>
  <c r="Z68" i="6"/>
  <c r="V153" i="6"/>
  <c r="Z142" i="6"/>
  <c r="V27" i="6"/>
  <c r="V134" i="6"/>
  <c r="V160" i="6"/>
  <c r="V163" i="6"/>
  <c r="V36" i="6"/>
  <c r="V65" i="6"/>
  <c r="Y42" i="6"/>
  <c r="U42" i="6"/>
  <c r="W42" i="6" s="1"/>
  <c r="Y113" i="6"/>
  <c r="U113" i="6"/>
  <c r="W113" i="6" s="1"/>
  <c r="Z122" i="6"/>
  <c r="V122" i="6"/>
  <c r="Y20" i="6"/>
  <c r="U20" i="6"/>
  <c r="W20" i="6" s="1"/>
  <c r="Y74" i="6"/>
  <c r="U74" i="6"/>
  <c r="W74" i="6" s="1"/>
  <c r="Z162" i="6"/>
  <c r="V162" i="6"/>
  <c r="Z97" i="6"/>
  <c r="V97" i="6"/>
  <c r="V198" i="6"/>
  <c r="Z198" i="6"/>
  <c r="Z55" i="6"/>
  <c r="V55" i="6"/>
  <c r="U58" i="6"/>
  <c r="W58" i="6" s="1"/>
  <c r="Y58" i="6"/>
  <c r="Z184" i="6"/>
  <c r="V184" i="6"/>
  <c r="Y162" i="6"/>
  <c r="U162" i="6"/>
  <c r="W162" i="6" s="1"/>
  <c r="Y97" i="6"/>
  <c r="U97" i="6"/>
  <c r="W97" i="6" s="1"/>
  <c r="Y194" i="6"/>
  <c r="U194" i="6"/>
  <c r="W194" i="6" s="1"/>
  <c r="Y154" i="6"/>
  <c r="U154" i="6"/>
  <c r="W154" i="6" s="1"/>
  <c r="U198" i="6"/>
  <c r="W198" i="6" s="1"/>
  <c r="Y198" i="6"/>
  <c r="Y105" i="6"/>
  <c r="U105" i="6"/>
  <c r="W105" i="6" s="1"/>
  <c r="Y55" i="6"/>
  <c r="U55" i="6"/>
  <c r="W55" i="6" s="1"/>
  <c r="Y31" i="6"/>
  <c r="U31" i="6"/>
  <c r="W31" i="6" s="1"/>
  <c r="Z37" i="6"/>
  <c r="V37" i="6"/>
  <c r="U184" i="6"/>
  <c r="W184" i="6" s="1"/>
  <c r="Y184" i="6"/>
  <c r="Z182" i="6"/>
  <c r="V182" i="6"/>
  <c r="V181" i="6"/>
  <c r="Z181" i="6"/>
  <c r="Z12" i="6"/>
  <c r="V12" i="6"/>
  <c r="Z20" i="6"/>
  <c r="V20" i="6"/>
  <c r="Y73" i="6"/>
  <c r="U73" i="6"/>
  <c r="W73" i="6" s="1"/>
  <c r="V200" i="6"/>
  <c r="Z200" i="6"/>
  <c r="Z194" i="6"/>
  <c r="V194" i="6"/>
  <c r="Z154" i="6"/>
  <c r="V154" i="6"/>
  <c r="Z105" i="6"/>
  <c r="V105" i="6"/>
  <c r="Z31" i="6"/>
  <c r="V31" i="6"/>
  <c r="Z64" i="6"/>
  <c r="V64" i="6"/>
  <c r="Y200" i="6"/>
  <c r="U200" i="6"/>
  <c r="W200" i="6" s="1"/>
  <c r="Z117" i="6"/>
  <c r="V117" i="6"/>
  <c r="Z95" i="6"/>
  <c r="V95" i="6"/>
  <c r="Z166" i="6"/>
  <c r="V166" i="6"/>
  <c r="V23" i="6"/>
  <c r="Z23" i="6"/>
  <c r="Z103" i="6"/>
  <c r="V103" i="6"/>
  <c r="V80" i="6"/>
  <c r="Z80" i="6"/>
  <c r="Z172" i="6"/>
  <c r="V172" i="6"/>
  <c r="Y37" i="6"/>
  <c r="U37" i="6"/>
  <c r="W37" i="6" s="1"/>
  <c r="Z144" i="6"/>
  <c r="V144" i="6"/>
  <c r="Z93" i="6"/>
  <c r="V93" i="6"/>
  <c r="Y181" i="6"/>
  <c r="U181" i="6"/>
  <c r="W181" i="6" s="1"/>
  <c r="Y12" i="6"/>
  <c r="U12" i="6"/>
  <c r="W12" i="6" s="1"/>
  <c r="U67" i="6"/>
  <c r="W67" i="6" s="1"/>
  <c r="Y67" i="6"/>
  <c r="Y92" i="6"/>
  <c r="U92" i="6"/>
  <c r="W92" i="6" s="1"/>
  <c r="V164" i="6"/>
  <c r="Z164" i="6"/>
  <c r="Z53" i="6"/>
  <c r="V53" i="6"/>
  <c r="Z74" i="6"/>
  <c r="V74" i="6"/>
  <c r="Y164" i="6"/>
  <c r="U164" i="6"/>
  <c r="W164" i="6" s="1"/>
  <c r="Z110" i="6"/>
  <c r="V110" i="6"/>
  <c r="Y132" i="6"/>
  <c r="U132" i="6"/>
  <c r="W132" i="6" s="1"/>
  <c r="Y80" i="6"/>
  <c r="U80" i="6"/>
  <c r="W80" i="6" s="1"/>
  <c r="Z108" i="6"/>
  <c r="V108" i="6"/>
  <c r="Z87" i="6"/>
  <c r="V87" i="6"/>
  <c r="V101" i="6"/>
  <c r="Z101" i="6"/>
  <c r="Z66" i="6"/>
  <c r="V66" i="6"/>
  <c r="Z192" i="6"/>
  <c r="V192" i="6"/>
  <c r="Z60" i="6"/>
  <c r="V60" i="6"/>
  <c r="Z109" i="6"/>
  <c r="V109" i="6"/>
  <c r="Y94" i="6"/>
  <c r="U94" i="6"/>
  <c r="W94" i="6" s="1"/>
  <c r="Y116" i="6"/>
  <c r="U116" i="6"/>
  <c r="W116" i="6" s="1"/>
  <c r="U47" i="6"/>
  <c r="W47" i="6" s="1"/>
  <c r="Y47" i="6"/>
  <c r="Y11" i="6"/>
  <c r="U11" i="6"/>
  <c r="W11" i="6" s="1"/>
  <c r="Y43" i="6"/>
  <c r="U43" i="6"/>
  <c r="W43" i="6" s="1"/>
  <c r="Z104" i="6"/>
  <c r="V104" i="6"/>
  <c r="Z73" i="6"/>
  <c r="V73" i="6"/>
  <c r="Z132" i="6"/>
  <c r="V132" i="6"/>
  <c r="Y122" i="6"/>
  <c r="U122" i="6"/>
  <c r="W122" i="6" s="1"/>
  <c r="Y3" i="6"/>
  <c r="U3" i="6"/>
  <c r="W3" i="6" s="1"/>
  <c r="Y95" i="6"/>
  <c r="U95" i="6"/>
  <c r="W95" i="6" s="1"/>
  <c r="V94" i="6"/>
  <c r="Z94" i="6"/>
  <c r="Z116" i="6"/>
  <c r="V116" i="6"/>
  <c r="Y87" i="6"/>
  <c r="U87" i="6"/>
  <c r="W87" i="6" s="1"/>
  <c r="D47" i="5"/>
  <c r="D48" i="5"/>
  <c r="D44" i="5"/>
  <c r="D14" i="5"/>
  <c r="D46" i="5" s="1"/>
  <c r="D38" i="5"/>
  <c r="D39" i="5"/>
  <c r="Y101" i="6"/>
  <c r="U101" i="6"/>
  <c r="W101" i="6" s="1"/>
  <c r="Z140" i="6"/>
  <c r="V140" i="6"/>
  <c r="U192" i="6"/>
  <c r="W192" i="6" s="1"/>
  <c r="Y192" i="6"/>
  <c r="U60" i="6"/>
  <c r="W60" i="6" s="1"/>
  <c r="Y60" i="6"/>
  <c r="Y109" i="6"/>
  <c r="U109" i="6"/>
  <c r="W109" i="6" s="1"/>
  <c r="Z69" i="6"/>
  <c r="V69" i="6"/>
  <c r="Z75" i="6"/>
  <c r="V75" i="6"/>
  <c r="Z121" i="6"/>
  <c r="V121" i="6"/>
  <c r="Z141" i="6"/>
  <c r="V141" i="6"/>
  <c r="V106" i="6"/>
  <c r="Z106" i="6"/>
  <c r="Z78" i="6"/>
  <c r="V78" i="6"/>
  <c r="Z26" i="6"/>
  <c r="V26" i="6"/>
  <c r="Z124" i="6"/>
  <c r="V124" i="6"/>
  <c r="Z34" i="6"/>
  <c r="V34" i="6"/>
  <c r="Z82" i="6"/>
  <c r="V82" i="6"/>
  <c r="Z191" i="6"/>
  <c r="V191" i="6"/>
  <c r="V86" i="6"/>
  <c r="Z86" i="6"/>
  <c r="Y69" i="6"/>
  <c r="U69" i="6"/>
  <c r="W69" i="6" s="1"/>
  <c r="Y75" i="6"/>
  <c r="U75" i="6"/>
  <c r="W75" i="6" s="1"/>
  <c r="P17" i="6"/>
  <c r="B75" i="5" s="1"/>
  <c r="B77" i="5" s="1"/>
  <c r="Z114" i="6"/>
  <c r="V114" i="6"/>
  <c r="Z193" i="6"/>
  <c r="V193" i="6"/>
  <c r="Y18" i="6"/>
  <c r="U18" i="6"/>
  <c r="W18" i="6" s="1"/>
  <c r="Y6" i="6"/>
  <c r="U6" i="6"/>
  <c r="W6" i="6" s="1"/>
  <c r="Y158" i="6"/>
  <c r="U158" i="6"/>
  <c r="W158" i="6" s="1"/>
  <c r="Y76" i="6"/>
  <c r="U76" i="6"/>
  <c r="W76" i="6" s="1"/>
  <c r="Y107" i="6"/>
  <c r="U107" i="6"/>
  <c r="W107" i="6" s="1"/>
  <c r="U56" i="6"/>
  <c r="W56" i="6" s="1"/>
  <c r="Y56" i="6"/>
  <c r="Y81" i="6"/>
  <c r="U81" i="6"/>
  <c r="W81" i="6" s="1"/>
  <c r="Y121" i="6"/>
  <c r="U121" i="6"/>
  <c r="W121" i="6" s="1"/>
  <c r="Z81" i="6"/>
  <c r="V81" i="6"/>
  <c r="Y114" i="6"/>
  <c r="U114" i="6"/>
  <c r="W114" i="6" s="1"/>
  <c r="P16" i="6"/>
  <c r="B80" i="5" s="1"/>
  <c r="Y193" i="6"/>
  <c r="U193" i="6"/>
  <c r="W193" i="6" s="1"/>
  <c r="Z161" i="6"/>
  <c r="V161" i="6"/>
  <c r="Z102" i="6"/>
  <c r="V102" i="6"/>
  <c r="Z52" i="6"/>
  <c r="V52" i="6"/>
  <c r="Z138" i="6"/>
  <c r="V138" i="6"/>
  <c r="Z150" i="6"/>
  <c r="V150" i="6"/>
  <c r="Z90" i="6"/>
  <c r="V90" i="6"/>
  <c r="Y104" i="6"/>
  <c r="U104" i="6"/>
  <c r="W104" i="6" s="1"/>
  <c r="Y197" i="6"/>
  <c r="U197" i="6"/>
  <c r="W197" i="6" s="1"/>
  <c r="Y117" i="6"/>
  <c r="U117" i="6"/>
  <c r="W117" i="6" s="1"/>
  <c r="Z199" i="6"/>
  <c r="V199" i="6"/>
  <c r="Y23" i="6"/>
  <c r="U23" i="6"/>
  <c r="W23" i="6" s="1"/>
  <c r="Y103" i="6"/>
  <c r="U103" i="6"/>
  <c r="W103" i="6" s="1"/>
  <c r="Y172" i="6"/>
  <c r="U172" i="6"/>
  <c r="W172" i="6" s="1"/>
  <c r="U144" i="6"/>
  <c r="W144" i="6" s="1"/>
  <c r="Y144" i="6"/>
  <c r="Y108" i="6"/>
  <c r="U108" i="6"/>
  <c r="W108" i="6" s="1"/>
  <c r="Z77" i="6"/>
  <c r="V77" i="6"/>
  <c r="Y124" i="6"/>
  <c r="U124" i="6"/>
  <c r="W124" i="6" s="1"/>
  <c r="U82" i="6"/>
  <c r="W82" i="6" s="1"/>
  <c r="Y82" i="6"/>
  <c r="Z158" i="6"/>
  <c r="V158" i="6"/>
  <c r="Z107" i="6"/>
  <c r="V107" i="6"/>
  <c r="V56" i="6"/>
  <c r="Z56" i="6"/>
  <c r="V14" i="6"/>
  <c r="Z14" i="6"/>
  <c r="Z24" i="6"/>
  <c r="V24" i="6"/>
  <c r="Y10" i="6"/>
  <c r="U10" i="6"/>
  <c r="W10" i="6" s="1"/>
  <c r="Y24" i="6"/>
  <c r="U24" i="6"/>
  <c r="W24" i="6" s="1"/>
  <c r="V120" i="6"/>
  <c r="Z120" i="6"/>
  <c r="V167" i="6"/>
  <c r="Z167" i="6"/>
  <c r="Z149" i="6"/>
  <c r="V149" i="6"/>
  <c r="Z7" i="6"/>
  <c r="V7" i="6"/>
  <c r="Z157" i="6"/>
  <c r="V157" i="6"/>
  <c r="V70" i="6"/>
  <c r="Z70" i="6"/>
  <c r="U161" i="6"/>
  <c r="W161" i="6" s="1"/>
  <c r="Y161" i="6"/>
  <c r="Y102" i="6"/>
  <c r="U102" i="6"/>
  <c r="W102" i="6" s="1"/>
  <c r="V173" i="6"/>
  <c r="Z173" i="6"/>
  <c r="Y138" i="6"/>
  <c r="U138" i="6"/>
  <c r="W138" i="6" s="1"/>
  <c r="Y150" i="6"/>
  <c r="U150" i="6"/>
  <c r="W150" i="6" s="1"/>
  <c r="Z197" i="6"/>
  <c r="V197" i="6"/>
  <c r="Y53" i="6"/>
  <c r="U53" i="6"/>
  <c r="W53" i="6" s="1"/>
  <c r="Y106" i="6"/>
  <c r="U106" i="6"/>
  <c r="W106" i="6" s="1"/>
  <c r="Y34" i="6"/>
  <c r="U34" i="6"/>
  <c r="W34" i="6" s="1"/>
  <c r="Y191" i="6"/>
  <c r="U191" i="6"/>
  <c r="W191" i="6" s="1"/>
  <c r="Z18" i="6"/>
  <c r="V18" i="6"/>
  <c r="V10" i="6"/>
  <c r="Z10" i="6"/>
  <c r="Y167" i="6"/>
  <c r="U167" i="6"/>
  <c r="W167" i="6" s="1"/>
  <c r="Y149" i="6"/>
  <c r="U149" i="6"/>
  <c r="W149" i="6" s="1"/>
  <c r="Y157" i="6"/>
  <c r="U157" i="6"/>
  <c r="W157" i="6" s="1"/>
  <c r="Z185" i="6"/>
  <c r="V185" i="6"/>
  <c r="Z19" i="6"/>
  <c r="V19" i="6"/>
  <c r="Y63" i="6"/>
  <c r="U63" i="6"/>
  <c r="W63" i="6" s="1"/>
  <c r="Y29" i="6"/>
  <c r="U29" i="6"/>
  <c r="W29" i="6" s="1"/>
  <c r="Z72" i="6"/>
  <c r="V72" i="6"/>
  <c r="V3" i="6"/>
  <c r="Z3" i="6"/>
  <c r="Z115" i="6"/>
  <c r="V115" i="6"/>
  <c r="V62" i="6"/>
  <c r="Z62" i="6"/>
  <c r="Y72" i="6"/>
  <c r="U72" i="6"/>
  <c r="W72" i="6" s="1"/>
  <c r="Y115" i="6"/>
  <c r="U115" i="6"/>
  <c r="W115" i="6" s="1"/>
  <c r="U62" i="6"/>
  <c r="W62" i="6" s="1"/>
  <c r="Y62" i="6"/>
  <c r="Z58" i="6"/>
  <c r="V58" i="6"/>
  <c r="Y110" i="6"/>
  <c r="U110" i="6"/>
  <c r="W110" i="6" s="1"/>
  <c r="Y78" i="6"/>
  <c r="U78" i="6"/>
  <c r="W78" i="6" s="1"/>
  <c r="Y26" i="6"/>
  <c r="U26" i="6"/>
  <c r="W26" i="6" s="1"/>
  <c r="Y86" i="6"/>
  <c r="U86" i="6"/>
  <c r="W86" i="6" s="1"/>
  <c r="Z6" i="6"/>
  <c r="V6" i="6"/>
  <c r="V76" i="6"/>
  <c r="Z76" i="6"/>
  <c r="Z190" i="6"/>
  <c r="V190" i="6"/>
  <c r="U120" i="6"/>
  <c r="W120" i="6" s="1"/>
  <c r="Y120" i="6"/>
  <c r="Y7" i="6"/>
  <c r="U7" i="6"/>
  <c r="W7" i="6" s="1"/>
  <c r="Y70" i="6"/>
  <c r="U70" i="6"/>
  <c r="W70" i="6" s="1"/>
  <c r="Z63" i="6"/>
  <c r="V63" i="6"/>
  <c r="Z67" i="6"/>
  <c r="V67" i="6"/>
  <c r="Z42" i="6"/>
  <c r="V42" i="6"/>
  <c r="V47" i="6"/>
  <c r="Z47" i="6"/>
  <c r="Z113" i="6"/>
  <c r="V113" i="6"/>
  <c r="Z11" i="6"/>
  <c r="V11" i="6"/>
  <c r="Z29" i="6"/>
  <c r="V29" i="6"/>
  <c r="Z92" i="6"/>
  <c r="V92" i="6"/>
  <c r="Z43" i="6"/>
  <c r="V43" i="6"/>
  <c r="Y185" i="6"/>
  <c r="U185" i="6"/>
  <c r="W185" i="6" s="1"/>
  <c r="D42" i="5" l="1"/>
  <c r="D52" i="5" s="1"/>
  <c r="D53" i="5" s="1"/>
  <c r="G62" i="3"/>
  <c r="G61" i="3"/>
  <c r="P33" i="6"/>
  <c r="P34" i="6"/>
  <c r="G76" i="3" s="1"/>
  <c r="C59" i="3" l="1"/>
  <c r="G68" i="3"/>
  <c r="B78" i="5"/>
  <c r="P32" i="6"/>
  <c r="C76" i="3"/>
  <c r="B79" i="5"/>
  <c r="G63" i="3" s="1"/>
  <c r="G64" i="3" s="1"/>
  <c r="G66" i="3" s="1"/>
  <c r="E37" i="5"/>
  <c r="E13" i="5"/>
  <c r="E39" i="5" l="1"/>
  <c r="E47" i="5"/>
  <c r="E48" i="5"/>
  <c r="E44" i="5"/>
  <c r="F14" i="5"/>
  <c r="E38" i="5"/>
  <c r="E14" i="5"/>
  <c r="E46" i="5" s="1"/>
  <c r="E42" i="5" l="1"/>
  <c r="E52" i="5" s="1"/>
  <c r="E53" i="5" s="1"/>
  <c r="F37" i="5" l="1"/>
  <c r="F13" i="5"/>
  <c r="F46" i="5" l="1"/>
  <c r="F39" i="5"/>
  <c r="F48" i="5"/>
  <c r="G35" i="3" s="1"/>
  <c r="F38" i="5"/>
  <c r="F44" i="5"/>
  <c r="C21" i="3" s="1"/>
  <c r="F47" i="5"/>
  <c r="F42" i="5" l="1"/>
  <c r="F49" i="5"/>
  <c r="C47" i="3" s="1"/>
  <c r="C49" i="3" s="1"/>
  <c r="F52" i="5" l="1"/>
  <c r="G48" i="3"/>
  <c r="B58" i="5"/>
  <c r="G49" i="3" s="1"/>
  <c r="F53" i="5" l="1"/>
  <c r="G45" i="3" s="1"/>
  <c r="G4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 </author>
    <author>peter_l</author>
  </authors>
  <commentList>
    <comment ref="G10" authorId="0" shapeId="0" xr:uid="{6E6F76F5-DAF0-4757-AF79-EE9BE0C32EA4}">
      <text>
        <r>
          <rPr>
            <b/>
            <sz val="10"/>
            <color indexed="81"/>
            <rFont val="Tahoma"/>
            <family val="2"/>
          </rPr>
          <t>When using SYNC, the SYNC frequency should not be less than 25% below the internal oscillator frequency set by Rt. Please refer to datasheet for more information.</t>
        </r>
      </text>
    </comment>
    <comment ref="A30" authorId="1" shapeId="0" xr:uid="{1C15D4FD-5532-40A0-8CB9-D4405E4FEE56}">
      <text>
        <r>
          <rPr>
            <b/>
            <sz val="8"/>
            <color indexed="81"/>
            <rFont val="Tahoma"/>
            <family val="2"/>
          </rPr>
          <t>peter_l:</t>
        </r>
        <r>
          <rPr>
            <sz val="8"/>
            <color indexed="81"/>
            <rFont val="Tahoma"/>
            <family val="2"/>
          </rPr>
          <t xml:space="preserve">
</t>
        </r>
      </text>
    </comment>
    <comment ref="E34" authorId="0" shapeId="0" xr:uid="{479CF860-29D6-4DB6-B036-A5F4C8A3E8A2}">
      <text>
        <r>
          <rPr>
            <b/>
            <sz val="10"/>
            <color indexed="81"/>
            <rFont val="Tahoma"/>
            <family val="2"/>
          </rPr>
          <t xml:space="preserve"> We suggest that the maximum senseing resistance/voltage be less than the suggested sensing resistance/voltage. </t>
        </r>
      </text>
    </comment>
  </commentList>
</comments>
</file>

<file path=xl/sharedStrings.xml><?xml version="1.0" encoding="utf-8"?>
<sst xmlns="http://schemas.openxmlformats.org/spreadsheetml/2006/main" count="415" uniqueCount="341">
  <si>
    <t>Project Name:</t>
  </si>
  <si>
    <t>Date:</t>
  </si>
  <si>
    <t>Part I - Power Stage Design:</t>
  </si>
  <si>
    <t>POWER APPLICATION, LINEAR TECHNOLOGY CORP.</t>
  </si>
  <si>
    <t>Requirement</t>
  </si>
  <si>
    <t>V</t>
  </si>
  <si>
    <t>A</t>
  </si>
  <si>
    <t>Inductor peak-peak ripple current=</t>
  </si>
  <si>
    <t>%</t>
  </si>
  <si>
    <t>Switching frequency,[fs]=</t>
  </si>
  <si>
    <t>kHz</t>
  </si>
  <si>
    <t>Ath</t>
  </si>
  <si>
    <t>Frequency selection resistor=</t>
  </si>
  <si>
    <r>
      <t>k</t>
    </r>
    <r>
      <rPr>
        <sz val="10"/>
        <rFont val="Arial"/>
        <family val="2"/>
      </rPr>
      <t>Ω</t>
    </r>
  </si>
  <si>
    <t xml:space="preserve"> User enter actual frequency selection resistor=</t>
  </si>
  <si>
    <t>nsec</t>
  </si>
  <si>
    <t>µH</t>
  </si>
  <si>
    <r>
      <t>m</t>
    </r>
    <r>
      <rPr>
        <sz val="10"/>
        <rFont val="Arial"/>
        <family val="2"/>
      </rPr>
      <t>Ω</t>
    </r>
  </si>
  <si>
    <t>Part #</t>
  </si>
  <si>
    <t>Input Capacitor Selection</t>
  </si>
  <si>
    <t>VOF=</t>
  </si>
  <si>
    <t>µF</t>
  </si>
  <si>
    <t>ESR of each ceramic capacitor=</t>
  </si>
  <si>
    <t># of output ceramic capacitors=</t>
  </si>
  <si>
    <t>Output Ceramic Capacitor Manufacturer</t>
  </si>
  <si>
    <t>Efficiency Estimation</t>
  </si>
  <si>
    <t>Inductor</t>
  </si>
  <si>
    <t>Contact component vendors for detailed data.</t>
  </si>
  <si>
    <t>deg</t>
  </si>
  <si>
    <t>Voltage Loop Design Target</t>
  </si>
  <si>
    <r>
      <t>Input voltage,[V</t>
    </r>
    <r>
      <rPr>
        <vertAlign val="subscript"/>
        <sz val="10"/>
        <rFont val="Arial"/>
        <family val="2"/>
      </rPr>
      <t>in</t>
    </r>
    <r>
      <rPr>
        <sz val="10"/>
        <rFont val="Arial"/>
        <family val="2"/>
      </rPr>
      <t>]=</t>
    </r>
  </si>
  <si>
    <r>
      <t>Target voltage loop bandwidth(&lt;f</t>
    </r>
    <r>
      <rPr>
        <vertAlign val="subscript"/>
        <sz val="10"/>
        <rFont val="Arial"/>
        <family val="2"/>
      </rPr>
      <t>s</t>
    </r>
    <r>
      <rPr>
        <sz val="10"/>
        <rFont val="Arial"/>
        <family val="2"/>
      </rPr>
      <t>/5), [f</t>
    </r>
    <r>
      <rPr>
        <vertAlign val="subscript"/>
        <sz val="10"/>
        <rFont val="Arial"/>
        <family val="2"/>
      </rPr>
      <t>c</t>
    </r>
    <r>
      <rPr>
        <sz val="10"/>
        <rFont val="Arial"/>
        <family val="2"/>
      </rPr>
      <t>]=</t>
    </r>
  </si>
  <si>
    <r>
      <t>Target voltage loop phase margin, [</t>
    </r>
    <r>
      <rPr>
        <sz val="10"/>
        <rFont val="Arial"/>
        <family val="2"/>
      </rPr>
      <t>Φ</t>
    </r>
    <r>
      <rPr>
        <vertAlign val="subscript"/>
        <sz val="10"/>
        <rFont val="Arial"/>
        <family val="2"/>
      </rPr>
      <t>m</t>
    </r>
    <r>
      <rPr>
        <sz val="10"/>
        <rFont val="Arial"/>
        <family val="2"/>
      </rPr>
      <t>]=</t>
    </r>
  </si>
  <si>
    <t>Imode?</t>
  </si>
  <si>
    <t>Index</t>
  </si>
  <si>
    <t>Small Signal calculation</t>
  </si>
  <si>
    <t>Cb*Rb*2*pi</t>
  </si>
  <si>
    <t>Cc*Rc*2*PI</t>
  </si>
  <si>
    <t>2*PI()*Cb</t>
  </si>
  <si>
    <t>2*PI()*Cc</t>
  </si>
  <si>
    <t>nc</t>
  </si>
  <si>
    <t>Ycden</t>
  </si>
  <si>
    <t>Yreal</t>
  </si>
  <si>
    <t>Yimag</t>
  </si>
  <si>
    <t>Yo</t>
  </si>
  <si>
    <t>Rsense</t>
  </si>
  <si>
    <t>Duty</t>
  </si>
  <si>
    <t>Slope P</t>
  </si>
  <si>
    <t>Fm*Ath</t>
  </si>
  <si>
    <t>Fmm</t>
  </si>
  <si>
    <t>1-D</t>
  </si>
  <si>
    <t>Vge_arg</t>
  </si>
  <si>
    <t>ILPK*L*2*PI()</t>
  </si>
  <si>
    <t>2*PI()*Lf</t>
  </si>
  <si>
    <t>f(k)</t>
  </si>
  <si>
    <t>RL</t>
  </si>
  <si>
    <t>Fmm*Ri*VoF*PI()/fs</t>
  </si>
  <si>
    <t>PI()/fs</t>
  </si>
  <si>
    <t>kr*Fmm</t>
  </si>
  <si>
    <t>Den const</t>
  </si>
  <si>
    <t>ith2vo(rad)</t>
  </si>
  <si>
    <t>Vg^2</t>
  </si>
  <si>
    <t>Compensation Design</t>
  </si>
  <si>
    <t>Maximum phase boost of divider network=</t>
  </si>
  <si>
    <r>
      <t>User select phase boost of divider network at f</t>
    </r>
    <r>
      <rPr>
        <vertAlign val="subscript"/>
        <sz val="10"/>
        <rFont val="Arial"/>
        <family val="2"/>
      </rPr>
      <t>c</t>
    </r>
    <r>
      <rPr>
        <sz val="10"/>
        <rFont val="Arial"/>
        <family val="2"/>
      </rPr>
      <t>=</t>
    </r>
  </si>
  <si>
    <t>kΩ</t>
  </si>
  <si>
    <t>pF</t>
  </si>
  <si>
    <t>Compensator Network</t>
  </si>
  <si>
    <r>
      <t>Low frequency pole, [f</t>
    </r>
    <r>
      <rPr>
        <vertAlign val="subscript"/>
        <sz val="10"/>
        <rFont val="Arial"/>
        <family val="2"/>
      </rPr>
      <t>po</t>
    </r>
    <r>
      <rPr>
        <sz val="10"/>
        <rFont val="Arial"/>
        <family val="2"/>
      </rPr>
      <t>]=</t>
    </r>
  </si>
  <si>
    <r>
      <t>User enter C</t>
    </r>
    <r>
      <rPr>
        <b/>
        <vertAlign val="subscript"/>
        <sz val="10"/>
        <rFont val="Arial"/>
        <family val="2"/>
      </rPr>
      <t>1</t>
    </r>
  </si>
  <si>
    <t>Voltage Divider Network (Phase Boost)</t>
  </si>
  <si>
    <r>
      <t>User enter C</t>
    </r>
    <r>
      <rPr>
        <b/>
        <vertAlign val="subscript"/>
        <sz val="10"/>
        <rFont val="Arial"/>
        <family val="2"/>
      </rPr>
      <t>th</t>
    </r>
  </si>
  <si>
    <r>
      <t>User enter R</t>
    </r>
    <r>
      <rPr>
        <b/>
        <vertAlign val="subscript"/>
        <sz val="10"/>
        <rFont val="Arial"/>
        <family val="2"/>
      </rPr>
      <t>th</t>
    </r>
  </si>
  <si>
    <r>
      <t>Calculated [C</t>
    </r>
    <r>
      <rPr>
        <vertAlign val="subscript"/>
        <sz val="10"/>
        <rFont val="Arial"/>
        <family val="2"/>
      </rPr>
      <t>th</t>
    </r>
    <r>
      <rPr>
        <sz val="10"/>
        <rFont val="Arial"/>
        <family val="2"/>
      </rPr>
      <t>]=</t>
    </r>
  </si>
  <si>
    <r>
      <t>Calculated [R</t>
    </r>
    <r>
      <rPr>
        <vertAlign val="subscript"/>
        <sz val="10"/>
        <rFont val="Arial"/>
        <family val="2"/>
      </rPr>
      <t>th</t>
    </r>
    <r>
      <rPr>
        <sz val="10"/>
        <rFont val="Arial"/>
        <family val="2"/>
      </rPr>
      <t>]=</t>
    </r>
  </si>
  <si>
    <t>Vin</t>
  </si>
  <si>
    <t>Io</t>
  </si>
  <si>
    <t>Kref</t>
  </si>
  <si>
    <t>D_mag</t>
  </si>
  <si>
    <t>D_arg</t>
  </si>
  <si>
    <t>R2*C2</t>
  </si>
  <si>
    <t>Kref*R1*C12</t>
  </si>
  <si>
    <t>G_D,arg</t>
  </si>
  <si>
    <t>G_D, mag</t>
  </si>
  <si>
    <t>Roth/Aexp=</t>
  </si>
  <si>
    <t>RthCth</t>
  </si>
  <si>
    <t>Roth*Cth</t>
  </si>
  <si>
    <t>Roth*Cthp</t>
  </si>
  <si>
    <t>Sum^2</t>
  </si>
  <si>
    <t>Vloop</t>
  </si>
  <si>
    <t>As_arg</t>
  </si>
  <si>
    <t>ith2vo^2</t>
  </si>
  <si>
    <t>As^2</t>
  </si>
  <si>
    <t>Fm*Ath*gm*Roth</t>
  </si>
  <si>
    <t>Maximum output RMS current=</t>
  </si>
  <si>
    <t>Capacitance of input ceramic capacitor=</t>
  </si>
  <si>
    <t>Output ripple voltage percentage =</t>
  </si>
  <si>
    <t>Initial Design Operating Conditions</t>
  </si>
  <si>
    <t>Boost Inductor</t>
  </si>
  <si>
    <t>inductor DCR=</t>
  </si>
  <si>
    <t>User enter inductor=</t>
  </si>
  <si>
    <t>Input Ceramic Capacitor manufacture</t>
  </si>
  <si>
    <t>2*PI</t>
  </si>
  <si>
    <t>Lb*Cb</t>
  </si>
  <si>
    <t>nb+Yo*Rb</t>
  </si>
  <si>
    <t>RDC*Yo+1</t>
  </si>
  <si>
    <t>L*2PI</t>
  </si>
  <si>
    <t>Lc*Cc</t>
  </si>
  <si>
    <t>Capacitance of each ceramic capacitor=</t>
  </si>
  <si>
    <t>1-Dmax</t>
  </si>
  <si>
    <t>Vge_mag</t>
  </si>
  <si>
    <t>EQ_R</t>
  </si>
  <si>
    <t>EQ_J</t>
  </si>
  <si>
    <t>R</t>
  </si>
  <si>
    <t>J</t>
  </si>
  <si>
    <t>Power Stage</t>
  </si>
  <si>
    <t>Controller</t>
  </si>
  <si>
    <t>Thermal</t>
  </si>
  <si>
    <t>Chip</t>
  </si>
  <si>
    <t>Vin min.(V)</t>
  </si>
  <si>
    <t>Vin max.(V)</t>
  </si>
  <si>
    <t>Min. ON time (ns)</t>
  </si>
  <si>
    <t>Min.OFF time (ns)</t>
  </si>
  <si>
    <r>
      <t>Switch Resisor (m</t>
    </r>
    <r>
      <rPr>
        <b/>
        <sz val="10"/>
        <rFont val="Arial"/>
        <family val="2"/>
      </rPr>
      <t>Ω</t>
    </r>
    <r>
      <rPr>
        <b/>
        <sz val="10"/>
        <rFont val="Arial"/>
        <family val="2"/>
      </rPr>
      <t>)</t>
    </r>
  </si>
  <si>
    <t xml:space="preserve">beta of power switch </t>
  </si>
  <si>
    <t>Iq (mA)</t>
  </si>
  <si>
    <t>Ibias(mA)</t>
  </si>
  <si>
    <t>Max. Duty Cyle (%)</t>
  </si>
  <si>
    <t>Vref (V)</t>
  </si>
  <si>
    <t>gm typ (ms)</t>
  </si>
  <si>
    <t>Ro of EA (kΩ)</t>
  </si>
  <si>
    <t>First pole (kHz)</t>
  </si>
  <si>
    <t>Trise (nS)</t>
  </si>
  <si>
    <t>Tfall  (nS)</t>
  </si>
  <si>
    <t>Min. switching frequency(kHz)</t>
  </si>
  <si>
    <t>Max. switching frequency(kHz)</t>
  </si>
  <si>
    <t>Switching Frequency</t>
  </si>
  <si>
    <t xml:space="preserve"> </t>
  </si>
  <si>
    <r>
      <t>k</t>
    </r>
    <r>
      <rPr>
        <sz val="10"/>
        <rFont val="Arial"/>
        <family val="2"/>
      </rPr>
      <t>Hz</t>
    </r>
  </si>
  <si>
    <t>fs(kHz)=</t>
  </si>
  <si>
    <t>RT(kOhm)=</t>
  </si>
  <si>
    <t>Diodes</t>
  </si>
  <si>
    <t>VF @ full load current =</t>
  </si>
  <si>
    <t xml:space="preserve">Efficiency @ full load = </t>
  </si>
  <si>
    <t>˚C</t>
  </si>
  <si>
    <t>Die temperature @ full load =</t>
  </si>
  <si>
    <t>Chip name</t>
  </si>
  <si>
    <t>fs selection (true for Rt)</t>
  </si>
  <si>
    <t>D_min=</t>
  </si>
  <si>
    <t>D_max=</t>
  </si>
  <si>
    <t>D_nom=</t>
  </si>
  <si>
    <t>L=</t>
  </si>
  <si>
    <t>peak current @ Vin_min=</t>
  </si>
  <si>
    <t xml:space="preserve"> guaranteed current limit=</t>
  </si>
  <si>
    <t>Input Cap RMS current</t>
  </si>
  <si>
    <t>Inductor  avg current @ Vin_nom=</t>
  </si>
  <si>
    <t>Inductor  avg current @ Vin_min=</t>
  </si>
  <si>
    <t>Max RMS =</t>
  </si>
  <si>
    <t>Nom RMS=</t>
  </si>
  <si>
    <t>Inductor ripple (avg to peak) @ Vin_nom=</t>
  </si>
  <si>
    <t>D for Max RMS=</t>
  </si>
  <si>
    <t>Output Cap RMS current</t>
  </si>
  <si>
    <t>Inductor ripple (avg to peak) @ Vin_min=</t>
  </si>
  <si>
    <t>1-Dmax=</t>
  </si>
  <si>
    <t>Output Cap Voltage ripple</t>
  </si>
  <si>
    <t>delta ripple by ESR =</t>
  </si>
  <si>
    <t>Impedance =</t>
  </si>
  <si>
    <t>equivalent ESR=</t>
  </si>
  <si>
    <t>equivalent cap=</t>
  </si>
  <si>
    <t>delta ripple by cap =</t>
  </si>
  <si>
    <t>total ripple =</t>
  </si>
  <si>
    <t>from ref</t>
  </si>
  <si>
    <t>switch conduction loss =</t>
  </si>
  <si>
    <t>switch switching loss =</t>
  </si>
  <si>
    <t>diode conduction loss =</t>
  </si>
  <si>
    <t xml:space="preserve">Total power dissipation = </t>
  </si>
  <si>
    <t>Efficiency (%) =</t>
  </si>
  <si>
    <t>estimated efficiency =</t>
  </si>
  <si>
    <t>Max RMS (w/o consider efficiency) =</t>
  </si>
  <si>
    <t>Max RMS (consider efficiency) =</t>
  </si>
  <si>
    <t>Delta ripple @ Vin_nom (%)=</t>
  </si>
  <si>
    <t>chip leakage loss =</t>
  </si>
  <si>
    <t>drive loss =</t>
  </si>
  <si>
    <t>Total chip power loss =</t>
  </si>
  <si>
    <t xml:space="preserve">Vfb/Vout = </t>
  </si>
  <si>
    <t>load type (true is constant current)</t>
  </si>
  <si>
    <t>Rs(mOhm)</t>
  </si>
  <si>
    <t>slope se (D&gt;0.5)</t>
  </si>
  <si>
    <t>Fm =</t>
  </si>
  <si>
    <t>rising slope sn =</t>
  </si>
  <si>
    <t>external slope =</t>
  </si>
  <si>
    <t>gm =</t>
  </si>
  <si>
    <t>ith2vo mag (dB)</t>
  </si>
  <si>
    <t>expected phase of comp + pi/2 @ fc</t>
  </si>
  <si>
    <t>Gain for fthp =</t>
  </si>
  <si>
    <t>Gain for fthz =</t>
  </si>
  <si>
    <t>K factor for calculate fthp and fthz =</t>
  </si>
  <si>
    <t>Roth=</t>
  </si>
  <si>
    <r>
      <t>Calculated [C</t>
    </r>
    <r>
      <rPr>
        <vertAlign val="subscript"/>
        <sz val="10"/>
        <rFont val="Arial"/>
        <family val="2"/>
      </rPr>
      <t>thp</t>
    </r>
    <r>
      <rPr>
        <sz val="10"/>
        <rFont val="Arial"/>
        <family val="2"/>
      </rPr>
      <t>]</t>
    </r>
    <r>
      <rPr>
        <sz val="10"/>
        <rFont val="Arial"/>
        <family val="2"/>
      </rPr>
      <t>=</t>
    </r>
  </si>
  <si>
    <t>Cc*nc*2*pi()</t>
  </si>
  <si>
    <t xml:space="preserve">Bode Plot of Voltage Loop Gain </t>
  </si>
  <si>
    <t>Component Tables</t>
  </si>
  <si>
    <t>Please use this page to store your favourite parts. Data can be copied and pasted to main sheet.</t>
  </si>
  <si>
    <t>Please contact vendors for detailed data.</t>
  </si>
  <si>
    <t>Inductor Manufacturer</t>
  </si>
  <si>
    <t>Sumida</t>
  </si>
  <si>
    <t>Inductance (uH)=</t>
  </si>
  <si>
    <t>Inductor DCR (mΩ)=</t>
  </si>
  <si>
    <t>Saturation Current (A)=</t>
  </si>
  <si>
    <t>Temperature risng Current (A)=</t>
  </si>
  <si>
    <t>Package</t>
  </si>
  <si>
    <t>Capacitor Manufacturer</t>
  </si>
  <si>
    <t>Part#</t>
  </si>
  <si>
    <t>Capacitance (uF)=</t>
  </si>
  <si>
    <t>ESR (mΩ)=</t>
  </si>
  <si>
    <t>ESL(nH) =</t>
  </si>
  <si>
    <t>CDRH5D16NP-6R8NC</t>
  </si>
  <si>
    <t>gm*Roth</t>
  </si>
  <si>
    <t>ith2vo(deg)</t>
  </si>
  <si>
    <t>Bode Plot of Vref/Vout</t>
  </si>
  <si>
    <r>
      <t>Nominal input voltage, [V</t>
    </r>
    <r>
      <rPr>
        <vertAlign val="subscript"/>
        <sz val="10"/>
        <rFont val="Arial"/>
        <family val="2"/>
      </rPr>
      <t>in_nom</t>
    </r>
    <r>
      <rPr>
        <sz val="10"/>
        <rFont val="Arial"/>
        <charset val="134"/>
      </rPr>
      <t>]=</t>
    </r>
  </si>
  <si>
    <r>
      <t>Output voltage, [V</t>
    </r>
    <r>
      <rPr>
        <vertAlign val="subscript"/>
        <sz val="10"/>
        <rFont val="Arial"/>
        <family val="2"/>
      </rPr>
      <t>out</t>
    </r>
    <r>
      <rPr>
        <sz val="10"/>
        <rFont val="Arial"/>
        <charset val="134"/>
      </rPr>
      <t>]=</t>
    </r>
  </si>
  <si>
    <r>
      <t>Nominal input RMS current, [I</t>
    </r>
    <r>
      <rPr>
        <vertAlign val="subscript"/>
        <sz val="10"/>
        <rFont val="Arial"/>
        <family val="2"/>
      </rPr>
      <t>rms_nom</t>
    </r>
    <r>
      <rPr>
        <sz val="10"/>
        <rFont val="Arial"/>
        <family val="2"/>
      </rPr>
      <t>]=</t>
    </r>
  </si>
  <si>
    <r>
      <t>Maximum input RMS current, [I</t>
    </r>
    <r>
      <rPr>
        <vertAlign val="subscript"/>
        <sz val="10"/>
        <rFont val="Arial"/>
        <family val="2"/>
      </rPr>
      <t>rms_max</t>
    </r>
    <r>
      <rPr>
        <sz val="10"/>
        <rFont val="Arial"/>
        <family val="2"/>
      </rPr>
      <t>]=</t>
    </r>
  </si>
  <si>
    <r>
      <t>Peak current at V</t>
    </r>
    <r>
      <rPr>
        <vertAlign val="subscript"/>
        <sz val="10"/>
        <rFont val="Arial"/>
        <family val="2"/>
      </rPr>
      <t>in_min</t>
    </r>
    <r>
      <rPr>
        <sz val="10"/>
        <rFont val="Arial"/>
        <family val="2"/>
      </rPr>
      <t>, [I</t>
    </r>
    <r>
      <rPr>
        <vertAlign val="subscript"/>
        <sz val="10"/>
        <rFont val="Arial"/>
        <family val="2"/>
      </rPr>
      <t>pk</t>
    </r>
    <r>
      <rPr>
        <sz val="10"/>
        <rFont val="Arial"/>
        <family val="2"/>
      </rPr>
      <t xml:space="preserve">]= </t>
    </r>
  </si>
  <si>
    <t>Design Verification</t>
  </si>
  <si>
    <r>
      <t>Minimum input voltage, [V</t>
    </r>
    <r>
      <rPr>
        <vertAlign val="subscript"/>
        <sz val="10"/>
        <rFont val="Arial"/>
        <family val="2"/>
      </rPr>
      <t>in_min</t>
    </r>
    <r>
      <rPr>
        <sz val="10"/>
        <rFont val="Arial"/>
        <charset val="134"/>
      </rPr>
      <t>]=</t>
    </r>
  </si>
  <si>
    <r>
      <t>Maximum input voltage, [V</t>
    </r>
    <r>
      <rPr>
        <vertAlign val="subscript"/>
        <sz val="10"/>
        <rFont val="Arial"/>
        <family val="2"/>
      </rPr>
      <t>in_max</t>
    </r>
    <r>
      <rPr>
        <sz val="10"/>
        <rFont val="Arial"/>
        <charset val="134"/>
      </rPr>
      <t>]=</t>
    </r>
  </si>
  <si>
    <t>Actual nominal switching frequency=</t>
  </si>
  <si>
    <r>
      <t>Maximum output current, [I</t>
    </r>
    <r>
      <rPr>
        <vertAlign val="subscript"/>
        <sz val="10"/>
        <rFont val="Arial"/>
        <family val="2"/>
      </rPr>
      <t>o_max</t>
    </r>
    <r>
      <rPr>
        <sz val="10"/>
        <rFont val="Arial"/>
        <charset val="134"/>
      </rPr>
      <t>]=</t>
    </r>
  </si>
  <si>
    <r>
      <t>Load current, [I</t>
    </r>
    <r>
      <rPr>
        <vertAlign val="subscript"/>
        <sz val="10"/>
        <rFont val="Arial"/>
        <family val="2"/>
      </rPr>
      <t>o</t>
    </r>
    <r>
      <rPr>
        <sz val="10"/>
        <rFont val="Arial"/>
        <family val="2"/>
      </rPr>
      <t>]=</t>
    </r>
  </si>
  <si>
    <r>
      <t>User enter C</t>
    </r>
    <r>
      <rPr>
        <b/>
        <vertAlign val="subscript"/>
        <sz val="10"/>
        <rFont val="Arial"/>
        <family val="2"/>
      </rPr>
      <t>thp</t>
    </r>
  </si>
  <si>
    <r>
      <t>OFF time at V</t>
    </r>
    <r>
      <rPr>
        <vertAlign val="subscript"/>
        <sz val="10"/>
        <rFont val="Arial"/>
        <family val="2"/>
      </rPr>
      <t>in_min</t>
    </r>
    <r>
      <rPr>
        <sz val="10"/>
        <rFont val="Arial"/>
        <family val="2"/>
      </rPr>
      <t xml:space="preserve"> =</t>
    </r>
  </si>
  <si>
    <r>
      <t>ON time at V</t>
    </r>
    <r>
      <rPr>
        <vertAlign val="subscript"/>
        <sz val="10"/>
        <rFont val="Arial"/>
        <family val="2"/>
      </rPr>
      <t>in_max</t>
    </r>
    <r>
      <rPr>
        <sz val="10"/>
        <rFont val="Arial"/>
        <family val="2"/>
      </rPr>
      <t xml:space="preserve"> =</t>
    </r>
  </si>
  <si>
    <t>˚C/W</t>
  </si>
  <si>
    <r>
      <t>Actual voltage loop bandwidth, [f</t>
    </r>
    <r>
      <rPr>
        <vertAlign val="subscript"/>
        <sz val="10"/>
        <rFont val="Arial"/>
        <family val="2"/>
      </rPr>
      <t>c</t>
    </r>
    <r>
      <rPr>
        <sz val="10"/>
        <rFont val="Arial"/>
        <family val="2"/>
      </rPr>
      <t>]=</t>
    </r>
  </si>
  <si>
    <r>
      <t>Actual phase margin, [Φ</t>
    </r>
    <r>
      <rPr>
        <vertAlign val="subscript"/>
        <sz val="10"/>
        <rFont val="Arial"/>
        <family val="2"/>
      </rPr>
      <t>m</t>
    </r>
    <r>
      <rPr>
        <sz val="10"/>
        <rFont val="Arial"/>
        <family val="2"/>
      </rPr>
      <t>]=</t>
    </r>
  </si>
  <si>
    <t xml:space="preserve">  IC Minimum input voltage=</t>
  </si>
  <si>
    <t>IC Maximum input voltage=</t>
  </si>
  <si>
    <t xml:space="preserve"> IC typical minimum ON time =</t>
  </si>
  <si>
    <t xml:space="preserve"> IC typical minimum OFF time =</t>
  </si>
  <si>
    <t>IC Minimum switching frequency=</t>
  </si>
  <si>
    <t>IC Maximum switching frequency=</t>
  </si>
  <si>
    <t>fs/2</t>
  </si>
  <si>
    <t>Another Step</t>
  </si>
  <si>
    <t>Schematic of typical application of LT3757</t>
  </si>
  <si>
    <t>LT3757</t>
  </si>
  <si>
    <t>Power Loss in Forward diode=</t>
  </si>
  <si>
    <t>W</t>
  </si>
  <si>
    <t>Current Sensing Resistor</t>
  </si>
  <si>
    <t xml:space="preserve">Loss caused by bias current </t>
  </si>
  <si>
    <t>mΩ</t>
  </si>
  <si>
    <t xml:space="preserve"> MOSFET Selection (Input from Datasheet)</t>
  </si>
  <si>
    <t xml:space="preserve">MOSFET maximum drain to source stress </t>
  </si>
  <si>
    <t>Maximum power dissipation on current sensing resistor=</t>
  </si>
  <si>
    <t>Manufacturer</t>
  </si>
  <si>
    <t>Vishay</t>
  </si>
  <si>
    <t>Gate Drive Resistance</t>
  </si>
  <si>
    <r>
      <t>Typical MOSFET gate resistance, [R</t>
    </r>
    <r>
      <rPr>
        <vertAlign val="subscript"/>
        <sz val="10"/>
        <rFont val="Arial"/>
        <family val="2"/>
      </rPr>
      <t>G</t>
    </r>
    <r>
      <rPr>
        <sz val="10"/>
        <rFont val="Arial"/>
        <family val="2"/>
      </rPr>
      <t>]</t>
    </r>
    <r>
      <rPr>
        <sz val="10"/>
        <rFont val="Arial"/>
        <family val="2"/>
      </rPr>
      <t>=</t>
    </r>
  </si>
  <si>
    <t>Ω</t>
  </si>
  <si>
    <t xml:space="preserve"> Specified gate to source voltage for Qg at datasheet=</t>
  </si>
  <si>
    <t>Maximum total gate charge ,[Qg]=</t>
  </si>
  <si>
    <t>nC</t>
  </si>
  <si>
    <t>Total turn on gate resistance =</t>
  </si>
  <si>
    <t>Gate to drain charge,[Qgd]=</t>
  </si>
  <si>
    <t>Total turn off gate resistance =</t>
  </si>
  <si>
    <t>Gate to source charge,[Qgs]=</t>
  </si>
  <si>
    <r>
      <t>MOSFET Miller Voltage [V</t>
    </r>
    <r>
      <rPr>
        <vertAlign val="subscript"/>
        <sz val="10"/>
        <rFont val="Arial"/>
        <family val="2"/>
      </rPr>
      <t>m</t>
    </r>
    <r>
      <rPr>
        <sz val="10"/>
        <rFont val="Arial"/>
        <family val="2"/>
      </rPr>
      <t>] (Definition followed) =</t>
    </r>
  </si>
  <si>
    <t># of MOSFET in parallel=</t>
  </si>
  <si>
    <t>Wrong #</t>
  </si>
  <si>
    <t xml:space="preserve"> Estimated total power dissipation at full load =</t>
  </si>
  <si>
    <r>
      <t>Thermal resistance from junction to case, [</t>
    </r>
    <r>
      <rPr>
        <sz val="10"/>
        <rFont val="Symbol"/>
        <family val="1"/>
        <charset val="2"/>
      </rPr>
      <t>q</t>
    </r>
    <r>
      <rPr>
        <vertAlign val="subscript"/>
        <sz val="10"/>
        <rFont val="Arial"/>
        <family val="2"/>
      </rPr>
      <t>JC</t>
    </r>
    <r>
      <rPr>
        <sz val="10"/>
        <rFont val="Arial"/>
        <family val="2"/>
      </rPr>
      <t>]=</t>
    </r>
  </si>
  <si>
    <r>
      <t>o</t>
    </r>
    <r>
      <rPr>
        <sz val="10"/>
        <rFont val="Arial"/>
        <family val="2"/>
      </rPr>
      <t>C/W</t>
    </r>
  </si>
  <si>
    <t xml:space="preserve"> Estimated  temperature rise from case to junction, [Tj]= </t>
  </si>
  <si>
    <r>
      <t>o</t>
    </r>
    <r>
      <rPr>
        <sz val="10"/>
        <rFont val="Arial"/>
        <family val="2"/>
      </rPr>
      <t>C</t>
    </r>
  </si>
  <si>
    <t>inductor  loss =</t>
  </si>
  <si>
    <t xml:space="preserve">External Bias Loss = </t>
  </si>
  <si>
    <t>MOSFET switching Loss =</t>
  </si>
  <si>
    <t>MOSFET conduction Loss =</t>
  </si>
  <si>
    <t>Sense resitor Loss =</t>
  </si>
  <si>
    <t xml:space="preserve">Total Mosfet Loss = </t>
  </si>
  <si>
    <t>Gate driving voltage</t>
  </si>
  <si>
    <t>Suggested Current sense resistor</t>
  </si>
  <si>
    <t xml:space="preserve">INTVcc (V) </t>
  </si>
  <si>
    <t xml:space="preserve">Voltage used to calculate the bias loss = </t>
  </si>
  <si>
    <r>
      <t>Calculated feedback resistor [R</t>
    </r>
    <r>
      <rPr>
        <vertAlign val="subscript"/>
        <sz val="10"/>
        <rFont val="Arial"/>
        <family val="2"/>
      </rPr>
      <t>2</t>
    </r>
    <r>
      <rPr>
        <sz val="10"/>
        <rFont val="Arial"/>
        <family val="2"/>
      </rPr>
      <t>]=</t>
    </r>
  </si>
  <si>
    <r>
      <t>User enter feedback resistor [R</t>
    </r>
    <r>
      <rPr>
        <vertAlign val="subscript"/>
        <sz val="10"/>
        <rFont val="Arial"/>
        <family val="2"/>
      </rPr>
      <t>2</t>
    </r>
    <r>
      <rPr>
        <sz val="10"/>
        <rFont val="Arial"/>
        <family val="2"/>
      </rPr>
      <t>]=</t>
    </r>
  </si>
  <si>
    <r>
      <t>Calculated feedforward capacitor [C</t>
    </r>
    <r>
      <rPr>
        <vertAlign val="subscript"/>
        <sz val="10"/>
        <rFont val="Arial"/>
        <family val="2"/>
      </rPr>
      <t>2</t>
    </r>
    <r>
      <rPr>
        <sz val="10"/>
        <rFont val="Arial"/>
        <family val="2"/>
      </rPr>
      <t>]=</t>
    </r>
  </si>
  <si>
    <r>
      <t>User enter C</t>
    </r>
    <r>
      <rPr>
        <b/>
        <vertAlign val="subscript"/>
        <sz val="10"/>
        <rFont val="Arial"/>
        <family val="2"/>
      </rPr>
      <t>2</t>
    </r>
  </si>
  <si>
    <t>Phase boost zero, [fthz]=</t>
  </si>
  <si>
    <t>Noise filtering pole, [fthp]=</t>
  </si>
  <si>
    <t>PART II- Small Signal Loop Compensation Design :</t>
  </si>
  <si>
    <t>User enter sensing resistor=</t>
  </si>
  <si>
    <t>IHLP5050EZER100M01</t>
  </si>
  <si>
    <r>
      <t>External turn on gate resistance, [R</t>
    </r>
    <r>
      <rPr>
        <vertAlign val="subscript"/>
        <sz val="10"/>
        <rFont val="Arial"/>
        <family val="2"/>
      </rPr>
      <t>Gon</t>
    </r>
    <r>
      <rPr>
        <sz val="10"/>
        <rFont val="Arial"/>
        <family val="2"/>
      </rPr>
      <t>]=</t>
    </r>
  </si>
  <si>
    <r>
      <t>External turn off gate resistance, [R</t>
    </r>
    <r>
      <rPr>
        <vertAlign val="subscript"/>
        <sz val="10"/>
        <rFont val="Arial"/>
        <family val="2"/>
      </rPr>
      <t>Goff</t>
    </r>
    <r>
      <rPr>
        <sz val="10"/>
        <rFont val="Arial"/>
        <family val="2"/>
      </rPr>
      <t>]=</t>
    </r>
  </si>
  <si>
    <r>
      <t>User enter [R</t>
    </r>
    <r>
      <rPr>
        <vertAlign val="subscript"/>
        <sz val="10"/>
        <rFont val="Arial"/>
        <family val="2"/>
      </rPr>
      <t>1</t>
    </r>
    <r>
      <rPr>
        <sz val="10"/>
        <rFont val="Arial"/>
        <family val="2"/>
      </rPr>
      <t>]=</t>
    </r>
  </si>
  <si>
    <r>
      <t>Typical MOSFET on-resistance @ 75C, [R</t>
    </r>
    <r>
      <rPr>
        <vertAlign val="subscript"/>
        <sz val="10"/>
        <rFont val="Arial"/>
        <family val="2"/>
      </rPr>
      <t>DSon1</t>
    </r>
    <r>
      <rPr>
        <sz val="10"/>
        <rFont val="Arial"/>
        <family val="2"/>
      </rPr>
      <t>]=</t>
    </r>
  </si>
  <si>
    <t>LT3758</t>
  </si>
  <si>
    <t>Chip selection</t>
  </si>
  <si>
    <t>INTVcc off</t>
  </si>
  <si>
    <t>INTVcc limit</t>
  </si>
  <si>
    <t xml:space="preserve">INTVcc </t>
  </si>
  <si>
    <t xml:space="preserve">Suggested max. sensing resistance (30% margin at min input) </t>
  </si>
  <si>
    <t>chip temperature rise</t>
  </si>
  <si>
    <t>Thermal resistance</t>
  </si>
  <si>
    <t>mV</t>
  </si>
  <si>
    <t>Calculated boost inductor</t>
  </si>
  <si>
    <t xml:space="preserve"> manufacture and Part# </t>
  </si>
  <si>
    <t>Power loss=</t>
  </si>
  <si>
    <t>User enter ambient temperature =</t>
  </si>
  <si>
    <t xml:space="preserve"> Efficiency And  IC Thermal Calculation</t>
  </si>
  <si>
    <t>Total loss=</t>
  </si>
  <si>
    <t>w</t>
  </si>
  <si>
    <t>IC thermal resistance =</t>
  </si>
  <si>
    <t xml:space="preserve">IC loss dissipation= </t>
  </si>
  <si>
    <t>MOSFET drian to source break down voltage=</t>
  </si>
  <si>
    <r>
      <t>Estimated Peak to peak output ripple voltage at nominal voltage[V</t>
    </r>
    <r>
      <rPr>
        <vertAlign val="subscript"/>
        <sz val="10"/>
        <rFont val="Arial"/>
        <family val="2"/>
      </rPr>
      <t>opp</t>
    </r>
    <r>
      <rPr>
        <sz val="10"/>
        <rFont val="Arial"/>
        <family val="2"/>
      </rPr>
      <t xml:space="preserve">]= </t>
    </r>
  </si>
  <si>
    <t xml:space="preserve"> LT3757/LT3758 Boost Converter Power Design Tool</t>
  </si>
  <si>
    <t xml:space="preserve">Output  Diode </t>
  </si>
  <si>
    <t>Output  Diode Manufacturer</t>
  </si>
  <si>
    <t>modified output C ripple</t>
  </si>
  <si>
    <t>Rev. 0.4</t>
  </si>
  <si>
    <t>Updated on 5/11/2011</t>
  </si>
  <si>
    <t xml:space="preserve">Linear Technology Power Design Tool
License Agreement/Disclaimer
Copyright © 2011, Linear Technology Corporation
All rights reserved.
This spread sheet program is a powerful design tool that significantly eases the tasks of selecting component values, estimating power loss and efficiency and optimizing the compensation loop.
This design tool is copyrighted. You are granted a non-exclusive, non-transferable, royalty-free right solely to design supplies with Linear Technology products. Linear Technology Corporation owns the design tool. You may not redistribute, adapt, translate, reverse engineer, decompile, or disassemble the design tool. Upgrades, modifications, or repairs to this design tool will be strictly at the discretion of Linear Technology.
Linear Technology application team is trying our best to improve the accuracy of the design equations integrated in this program.  However, we can not guarantee operation to be error free. As always, Linear Technology has made the best effort to support our customers. However, due to the external component value variations, it remains the customer’s responsibility to verify the program's calculation results by actually building the circuit and evaluating its performance. 
</t>
  </si>
  <si>
    <t>MBRS340T3</t>
  </si>
  <si>
    <t>SI4840BDY</t>
  </si>
  <si>
    <t>Row</t>
  </si>
  <si>
    <t>Col</t>
  </si>
  <si>
    <t>Sheet</t>
  </si>
  <si>
    <t>IC</t>
  </si>
  <si>
    <t>Vin_min</t>
  </si>
  <si>
    <t>Vin_max</t>
  </si>
  <si>
    <t>Vin_nom</t>
  </si>
  <si>
    <t>Vo1</t>
  </si>
  <si>
    <t>Io1</t>
  </si>
  <si>
    <t>Vo2</t>
  </si>
  <si>
    <t>Io2</t>
  </si>
  <si>
    <r>
      <t>LT3757/3758 Boost Converter Power Design Tool</t>
    </r>
    <r>
      <rPr>
        <i/>
        <sz val="12"/>
        <rFont val="Arial"/>
        <family val="2"/>
      </rPr>
      <t xml:space="preserve"> -</t>
    </r>
    <r>
      <rPr>
        <b/>
        <i/>
        <sz val="12"/>
        <color indexed="14"/>
        <rFont val="Arial"/>
        <family val="2"/>
      </rPr>
      <t>for customer use with LTC parts only</t>
    </r>
  </si>
  <si>
    <t>C:\Program Files (x86)\LTC\LTpowerCAD2\\LTCLib</t>
  </si>
  <si>
    <t>LT3758(Boost)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</si>
</sst>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8" formatCode="0.0000"/>
  </numFmts>
  <fonts count="35">
    <font>
      <sz val="10"/>
      <name val="Arial"/>
      <charset val="134"/>
    </font>
    <font>
      <sz val="10"/>
      <name val="Arial"/>
      <charset val="134"/>
    </font>
    <font>
      <sz val="8"/>
      <name val="Arial"/>
      <family val="2"/>
    </font>
    <font>
      <b/>
      <i/>
      <sz val="16"/>
      <name val="Arial"/>
      <family val="2"/>
    </font>
    <font>
      <i/>
      <sz val="12"/>
      <name val="Arial"/>
      <family val="2"/>
    </font>
    <font>
      <b/>
      <i/>
      <sz val="12"/>
      <color indexed="14"/>
      <name val="Arial"/>
      <family val="2"/>
    </font>
    <font>
      <b/>
      <i/>
      <sz val="12"/>
      <name val="Arial"/>
      <family val="2"/>
    </font>
    <font>
      <b/>
      <i/>
      <sz val="14"/>
      <color indexed="12"/>
      <name val="Arial"/>
      <family val="2"/>
    </font>
    <font>
      <b/>
      <i/>
      <sz val="18"/>
      <color indexed="12"/>
      <name val="Arial"/>
      <family val="2"/>
    </font>
    <font>
      <b/>
      <sz val="18"/>
      <name val="Arial"/>
      <family val="2"/>
    </font>
    <font>
      <b/>
      <sz val="10"/>
      <name val="Arial"/>
      <family val="2"/>
    </font>
    <font>
      <b/>
      <sz val="14"/>
      <name val="Arial"/>
      <family val="2"/>
    </font>
    <font>
      <b/>
      <sz val="12"/>
      <name val="Arial"/>
      <family val="2"/>
    </font>
    <font>
      <sz val="10"/>
      <name val="Arial"/>
      <family val="2"/>
    </font>
    <font>
      <sz val="10"/>
      <name val="Arial"/>
      <family val="2"/>
    </font>
    <font>
      <vertAlign val="subscript"/>
      <sz val="10"/>
      <name val="Arial"/>
      <family val="2"/>
    </font>
    <font>
      <b/>
      <sz val="10"/>
      <name val="Arial"/>
      <family val="2"/>
    </font>
    <font>
      <b/>
      <vertAlign val="subscript"/>
      <sz val="10"/>
      <name val="Arial"/>
      <family val="2"/>
    </font>
    <font>
      <b/>
      <sz val="10"/>
      <color indexed="12"/>
      <name val="Arial"/>
      <family val="2"/>
    </font>
    <font>
      <b/>
      <sz val="10"/>
      <color indexed="9"/>
      <name val="Arial"/>
      <family val="2"/>
    </font>
    <font>
      <u/>
      <sz val="10"/>
      <color indexed="12"/>
      <name val="Arial"/>
      <family val="2"/>
    </font>
    <font>
      <sz val="12"/>
      <name val="Arial"/>
      <family val="2"/>
    </font>
    <font>
      <sz val="8"/>
      <color indexed="63"/>
      <name val="Arial"/>
      <family val="2"/>
    </font>
    <font>
      <sz val="10"/>
      <color indexed="10"/>
      <name val="Arial"/>
      <family val="2"/>
    </font>
    <font>
      <b/>
      <sz val="12"/>
      <color indexed="10"/>
      <name val="Arial"/>
      <family val="2"/>
    </font>
    <font>
      <b/>
      <sz val="16"/>
      <name val="Arial"/>
      <family val="2"/>
    </font>
    <font>
      <b/>
      <sz val="10"/>
      <color indexed="10"/>
      <name val="Arial"/>
      <family val="2"/>
    </font>
    <font>
      <b/>
      <sz val="10"/>
      <color indexed="10"/>
      <name val="Arial"/>
      <family val="2"/>
    </font>
    <font>
      <b/>
      <sz val="10"/>
      <color indexed="81"/>
      <name val="Tahoma"/>
      <family val="2"/>
    </font>
    <font>
      <sz val="10"/>
      <color indexed="9"/>
      <name val="Arial"/>
      <family val="2"/>
    </font>
    <font>
      <sz val="10"/>
      <name val="Symbol"/>
      <family val="1"/>
      <charset val="2"/>
    </font>
    <font>
      <vertAlign val="superscript"/>
      <sz val="10"/>
      <name val="Arial"/>
      <family val="2"/>
    </font>
    <font>
      <sz val="8"/>
      <color indexed="81"/>
      <name val="Tahoma"/>
      <family val="2"/>
    </font>
    <font>
      <b/>
      <sz val="8"/>
      <color indexed="81"/>
      <name val="Tahoma"/>
      <family val="2"/>
    </font>
    <font>
      <b/>
      <i/>
      <sz val="10"/>
      <color indexed="10"/>
      <name val="Arial"/>
      <family val="2"/>
    </font>
  </fonts>
  <fills count="8">
    <fill>
      <patternFill patternType="none"/>
    </fill>
    <fill>
      <patternFill patternType="gray125"/>
    </fill>
    <fill>
      <patternFill patternType="solid">
        <fgColor indexed="26"/>
        <bgColor indexed="64"/>
      </patternFill>
    </fill>
    <fill>
      <patternFill patternType="solid">
        <fgColor indexed="27"/>
        <bgColor indexed="64"/>
      </patternFill>
    </fill>
    <fill>
      <patternFill patternType="solid">
        <fgColor indexed="41"/>
        <bgColor indexed="64"/>
      </patternFill>
    </fill>
    <fill>
      <patternFill patternType="solid">
        <fgColor indexed="9"/>
        <bgColor indexed="64"/>
      </patternFill>
    </fill>
    <fill>
      <patternFill patternType="solid">
        <fgColor indexed="42"/>
        <bgColor indexed="64"/>
      </patternFill>
    </fill>
    <fill>
      <patternFill patternType="solid">
        <fgColor indexed="53"/>
        <bgColor indexed="64"/>
      </patternFill>
    </fill>
  </fills>
  <borders count="102">
    <border>
      <left/>
      <right/>
      <top/>
      <bottom/>
      <diagonal/>
    </border>
    <border>
      <left style="thin">
        <color indexed="22"/>
      </left>
      <right style="thin">
        <color indexed="22"/>
      </right>
      <top style="thin">
        <color indexed="22"/>
      </top>
      <bottom style="thin">
        <color indexed="22"/>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22"/>
      </left>
      <right style="thin">
        <color indexed="22"/>
      </right>
      <top/>
      <bottom style="thin">
        <color indexed="22"/>
      </bottom>
      <diagonal/>
    </border>
    <border>
      <left style="thin">
        <color indexed="22"/>
      </left>
      <right style="medium">
        <color indexed="64"/>
      </right>
      <top/>
      <bottom/>
      <diagonal/>
    </border>
    <border>
      <left/>
      <right style="medium">
        <color indexed="64"/>
      </right>
      <top/>
      <bottom/>
      <diagonal/>
    </border>
    <border>
      <left style="thin">
        <color indexed="22"/>
      </left>
      <right style="thin">
        <color indexed="22"/>
      </right>
      <top style="thin">
        <color indexed="22"/>
      </top>
      <bottom/>
      <diagonal/>
    </border>
    <border>
      <left/>
      <right style="medium">
        <color indexed="12"/>
      </right>
      <top/>
      <bottom/>
      <diagonal/>
    </border>
    <border>
      <left/>
      <right/>
      <top/>
      <bottom style="medium">
        <color indexed="64"/>
      </bottom>
      <diagonal/>
    </border>
    <border>
      <left style="thin">
        <color indexed="22"/>
      </left>
      <right style="medium">
        <color indexed="12"/>
      </right>
      <top/>
      <bottom style="medium">
        <color indexed="64"/>
      </bottom>
      <diagonal/>
    </border>
    <border>
      <left style="medium">
        <color indexed="64"/>
      </left>
      <right/>
      <top/>
      <bottom/>
      <diagonal/>
    </border>
    <border>
      <left style="medium">
        <color indexed="12"/>
      </left>
      <right/>
      <top/>
      <bottom style="medium">
        <color indexed="64"/>
      </bottom>
      <diagonal/>
    </border>
    <border>
      <left style="thin">
        <color indexed="22"/>
      </left>
      <right style="thin">
        <color indexed="22"/>
      </right>
      <top style="thin">
        <color indexed="22"/>
      </top>
      <bottom style="medium">
        <color indexed="64"/>
      </bottom>
      <diagonal/>
    </border>
    <border>
      <left style="thin">
        <color indexed="22"/>
      </left>
      <right style="thin">
        <color indexed="22"/>
      </right>
      <top style="thin">
        <color indexed="22"/>
      </top>
      <bottom style="medium">
        <color indexed="12"/>
      </bottom>
      <diagonal/>
    </border>
    <border>
      <left/>
      <right/>
      <top style="medium">
        <color indexed="64"/>
      </top>
      <bottom/>
      <diagonal/>
    </border>
    <border>
      <left/>
      <right style="medium">
        <color indexed="12"/>
      </right>
      <top style="medium">
        <color indexed="64"/>
      </top>
      <bottom/>
      <diagonal/>
    </border>
    <border>
      <left/>
      <right/>
      <top style="medium">
        <color indexed="12"/>
      </top>
      <bottom/>
      <diagonal/>
    </border>
    <border>
      <left/>
      <right style="medium">
        <color indexed="12"/>
      </right>
      <top style="medium">
        <color indexed="12"/>
      </top>
      <bottom/>
      <diagonal/>
    </border>
    <border>
      <left style="thin">
        <color indexed="22"/>
      </left>
      <right style="medium">
        <color indexed="64"/>
      </right>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medium">
        <color indexed="64"/>
      </right>
      <top/>
      <bottom style="medium">
        <color indexed="64"/>
      </bottom>
      <diagonal/>
    </border>
    <border>
      <left style="thin">
        <color indexed="22"/>
      </left>
      <right style="thin">
        <color indexed="22"/>
      </right>
      <top/>
      <bottom style="medium">
        <color indexed="64"/>
      </bottom>
      <diagonal/>
    </border>
    <border>
      <left/>
      <right style="medium">
        <color indexed="64"/>
      </right>
      <top style="medium">
        <color indexed="64"/>
      </top>
      <bottom/>
      <diagonal/>
    </border>
    <border>
      <left style="thin">
        <color indexed="22"/>
      </left>
      <right/>
      <top style="thin">
        <color indexed="22"/>
      </top>
      <bottom style="thin">
        <color indexed="22"/>
      </bottom>
      <diagonal/>
    </border>
    <border>
      <left style="thin">
        <color indexed="22"/>
      </left>
      <right style="thin">
        <color indexed="22"/>
      </right>
      <top style="medium">
        <color indexed="64"/>
      </top>
      <bottom style="thin">
        <color indexed="22"/>
      </bottom>
      <diagonal/>
    </border>
    <border>
      <left style="thin">
        <color indexed="22"/>
      </left>
      <right style="medium">
        <color indexed="39"/>
      </right>
      <top style="medium">
        <color indexed="12"/>
      </top>
      <bottom/>
      <diagonal/>
    </border>
    <border>
      <left style="thin">
        <color indexed="22"/>
      </left>
      <right style="medium">
        <color indexed="39"/>
      </right>
      <top/>
      <bottom/>
      <diagonal/>
    </border>
    <border>
      <left style="thin">
        <color indexed="22"/>
      </left>
      <right style="medium">
        <color indexed="39"/>
      </right>
      <top/>
      <bottom style="thin">
        <color indexed="22"/>
      </bottom>
      <diagonal/>
    </border>
    <border>
      <left style="thin">
        <color indexed="22"/>
      </left>
      <right style="medium">
        <color indexed="39"/>
      </right>
      <top/>
      <bottom style="medium">
        <color indexed="64"/>
      </bottom>
      <diagonal/>
    </border>
    <border>
      <left style="thin">
        <color indexed="22"/>
      </left>
      <right style="medium">
        <color indexed="39"/>
      </right>
      <top/>
      <bottom style="medium">
        <color indexed="12"/>
      </bottom>
      <diagonal/>
    </border>
    <border>
      <left style="thin">
        <color indexed="22"/>
      </left>
      <right style="medium">
        <color indexed="39"/>
      </right>
      <top style="medium">
        <color indexed="64"/>
      </top>
      <bottom style="thin">
        <color indexed="22"/>
      </bottom>
      <diagonal/>
    </border>
    <border>
      <left/>
      <right style="thin">
        <color indexed="64"/>
      </right>
      <top/>
      <bottom style="thin">
        <color indexed="22"/>
      </bottom>
      <diagonal/>
    </border>
    <border>
      <left/>
      <right style="thin">
        <color indexed="64"/>
      </right>
      <top style="thin">
        <color indexed="22"/>
      </top>
      <bottom style="thin">
        <color indexed="22"/>
      </bottom>
      <diagonal/>
    </border>
    <border>
      <left/>
      <right style="thin">
        <color indexed="64"/>
      </right>
      <top style="thin">
        <color indexed="22"/>
      </top>
      <bottom/>
      <diagonal/>
    </border>
    <border>
      <left/>
      <right/>
      <top/>
      <bottom style="thin">
        <color indexed="22"/>
      </bottom>
      <diagonal/>
    </border>
    <border>
      <left/>
      <right/>
      <top style="thin">
        <color indexed="22"/>
      </top>
      <bottom/>
      <diagonal/>
    </border>
    <border>
      <left/>
      <right style="medium">
        <color indexed="64"/>
      </right>
      <top/>
      <bottom style="thin">
        <color indexed="22"/>
      </bottom>
      <diagonal/>
    </border>
    <border>
      <left/>
      <right style="thin">
        <color indexed="22"/>
      </right>
      <top/>
      <bottom/>
      <diagonal/>
    </border>
    <border>
      <left/>
      <right style="thin">
        <color indexed="64"/>
      </right>
      <top style="thin">
        <color indexed="64"/>
      </top>
      <bottom style="thin">
        <color indexed="64"/>
      </bottom>
      <diagonal/>
    </border>
    <border>
      <left style="medium">
        <color indexed="12"/>
      </left>
      <right/>
      <top/>
      <bottom/>
      <diagonal/>
    </border>
    <border>
      <left/>
      <right/>
      <top style="thin">
        <color indexed="22"/>
      </top>
      <bottom style="thin">
        <color indexed="22"/>
      </bottom>
      <diagonal/>
    </border>
    <border>
      <left/>
      <right style="thin">
        <color indexed="22"/>
      </right>
      <top style="thin">
        <color indexed="22"/>
      </top>
      <bottom style="thin">
        <color indexed="22"/>
      </bottom>
      <diagonal/>
    </border>
    <border>
      <left style="thin">
        <color indexed="22"/>
      </left>
      <right style="thin">
        <color indexed="22"/>
      </right>
      <top style="thin">
        <color indexed="22"/>
      </top>
      <bottom style="medium">
        <color indexed="18"/>
      </bottom>
      <diagonal/>
    </border>
    <border>
      <left style="thin">
        <color indexed="22"/>
      </left>
      <right style="thin">
        <color indexed="22"/>
      </right>
      <top style="medium">
        <color indexed="18"/>
      </top>
      <bottom style="thin">
        <color indexed="22"/>
      </bottom>
      <diagonal/>
    </border>
    <border>
      <left style="thin">
        <color indexed="22"/>
      </left>
      <right style="thin">
        <color indexed="22"/>
      </right>
      <top style="medium">
        <color indexed="18"/>
      </top>
      <bottom/>
      <diagonal/>
    </border>
    <border>
      <left style="medium">
        <color indexed="12"/>
      </left>
      <right/>
      <top style="medium">
        <color indexed="12"/>
      </top>
      <bottom/>
      <diagonal/>
    </border>
    <border>
      <left/>
      <right style="thin">
        <color indexed="22"/>
      </right>
      <top/>
      <bottom style="medium">
        <color indexed="64"/>
      </bottom>
      <diagonal/>
    </border>
    <border>
      <left/>
      <right style="medium">
        <color indexed="64"/>
      </right>
      <top style="medium">
        <color indexed="12"/>
      </top>
      <bottom/>
      <diagonal/>
    </border>
    <border>
      <left style="thin">
        <color indexed="22"/>
      </left>
      <right style="thin">
        <color indexed="22"/>
      </right>
      <top style="medium">
        <color indexed="12"/>
      </top>
      <bottom style="thin">
        <color indexed="22"/>
      </bottom>
      <diagonal/>
    </border>
    <border>
      <left style="thin">
        <color indexed="22"/>
      </left>
      <right style="medium">
        <color indexed="12"/>
      </right>
      <top/>
      <bottom style="thin">
        <color indexed="22"/>
      </bottom>
      <diagonal/>
    </border>
    <border>
      <left style="thin">
        <color indexed="22"/>
      </left>
      <right style="medium">
        <color indexed="12"/>
      </right>
      <top style="thin">
        <color indexed="22"/>
      </top>
      <bottom style="thin">
        <color indexed="22"/>
      </bottom>
      <diagonal/>
    </border>
    <border>
      <left/>
      <right/>
      <top style="hair">
        <color indexed="64"/>
      </top>
      <bottom style="hair">
        <color indexed="64"/>
      </bottom>
      <diagonal/>
    </border>
    <border>
      <left style="thin">
        <color indexed="31"/>
      </left>
      <right style="thin">
        <color indexed="31"/>
      </right>
      <top style="thin">
        <color indexed="31"/>
      </top>
      <bottom style="thin">
        <color indexed="31"/>
      </bottom>
      <diagonal/>
    </border>
    <border>
      <left/>
      <right style="medium">
        <color indexed="12"/>
      </right>
      <top/>
      <bottom style="thin">
        <color indexed="64"/>
      </bottom>
      <diagonal/>
    </border>
    <border>
      <left style="thin">
        <color indexed="22"/>
      </left>
      <right style="thin">
        <color indexed="22"/>
      </right>
      <top style="thin">
        <color indexed="22"/>
      </top>
      <bottom style="medium">
        <color indexed="22"/>
      </bottom>
      <diagonal/>
    </border>
    <border>
      <left/>
      <right style="medium">
        <color indexed="12"/>
      </right>
      <top/>
      <bottom style="medium">
        <color indexed="12"/>
      </bottom>
      <diagonal/>
    </border>
    <border>
      <left style="thin">
        <color indexed="22"/>
      </left>
      <right style="medium">
        <color indexed="12"/>
      </right>
      <top style="medium">
        <color indexed="64"/>
      </top>
      <bottom style="thin">
        <color indexed="22"/>
      </bottom>
      <diagonal/>
    </border>
    <border>
      <left style="thin">
        <color indexed="22"/>
      </left>
      <right style="medium">
        <color indexed="12"/>
      </right>
      <top style="thin">
        <color indexed="22"/>
      </top>
      <bottom/>
      <diagonal/>
    </border>
    <border>
      <left style="medium">
        <color indexed="64"/>
      </left>
      <right/>
      <top/>
      <bottom style="medium">
        <color indexed="64"/>
      </bottom>
      <diagonal/>
    </border>
    <border>
      <left/>
      <right/>
      <top/>
      <bottom style="medium">
        <color indexed="58"/>
      </bottom>
      <diagonal/>
    </border>
    <border>
      <left/>
      <right style="medium">
        <color indexed="12"/>
      </right>
      <top/>
      <bottom style="medium">
        <color indexed="58"/>
      </bottom>
      <diagonal/>
    </border>
    <border>
      <left style="medium">
        <color indexed="64"/>
      </left>
      <right/>
      <top style="medium">
        <color indexed="12"/>
      </top>
      <bottom/>
      <diagonal/>
    </border>
    <border>
      <left/>
      <right style="hair">
        <color indexed="64"/>
      </right>
      <top/>
      <bottom style="hair">
        <color indexed="64"/>
      </bottom>
      <diagonal/>
    </border>
    <border>
      <left style="thin">
        <color indexed="22"/>
      </left>
      <right style="medium">
        <color indexed="12"/>
      </right>
      <top style="thin">
        <color indexed="22"/>
      </top>
      <bottom style="medium">
        <color indexed="12"/>
      </bottom>
      <diagonal/>
    </border>
    <border>
      <left style="thin">
        <color indexed="22"/>
      </left>
      <right style="medium">
        <color indexed="64"/>
      </right>
      <top/>
      <bottom style="medium">
        <color indexed="12"/>
      </bottom>
      <diagonal/>
    </border>
    <border>
      <left/>
      <right style="medium">
        <color indexed="12"/>
      </right>
      <top/>
      <bottom style="hair">
        <color indexed="64"/>
      </bottom>
      <diagonal/>
    </border>
    <border>
      <left style="thin">
        <color indexed="22"/>
      </left>
      <right style="thin">
        <color indexed="22"/>
      </right>
      <top style="thin">
        <color indexed="22"/>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bottom style="medium">
        <color indexed="64"/>
      </bottom>
      <diagonal/>
    </border>
    <border>
      <left/>
      <right style="hair">
        <color indexed="64"/>
      </right>
      <top style="medium">
        <color indexed="58"/>
      </top>
      <bottom style="hair">
        <color indexed="64"/>
      </bottom>
      <diagonal/>
    </border>
    <border>
      <left/>
      <right style="hair">
        <color indexed="64"/>
      </right>
      <top/>
      <bottom style="medium">
        <color indexed="64"/>
      </bottom>
      <diagonal/>
    </border>
    <border>
      <left style="hair">
        <color indexed="64"/>
      </left>
      <right style="hair">
        <color indexed="64"/>
      </right>
      <top style="medium">
        <color indexed="58"/>
      </top>
      <bottom style="hair">
        <color indexed="64"/>
      </bottom>
      <diagonal/>
    </border>
    <border>
      <left/>
      <right style="hair">
        <color indexed="64"/>
      </right>
      <top style="hair">
        <color indexed="64"/>
      </top>
      <bottom style="hair">
        <color indexed="64"/>
      </bottom>
      <diagonal/>
    </border>
    <border>
      <left/>
      <right style="hair">
        <color indexed="64"/>
      </right>
      <top/>
      <bottom style="medium">
        <color indexed="58"/>
      </bottom>
      <diagonal/>
    </border>
    <border>
      <left style="hair">
        <color indexed="64"/>
      </left>
      <right style="hair">
        <color indexed="64"/>
      </right>
      <top style="medium">
        <color indexed="64"/>
      </top>
      <bottom style="hair">
        <color indexed="64"/>
      </bottom>
      <diagonal/>
    </border>
    <border>
      <left style="thin">
        <color indexed="22"/>
      </left>
      <right style="thin">
        <color indexed="22"/>
      </right>
      <top style="hair">
        <color indexed="64"/>
      </top>
      <bottom style="thin">
        <color indexed="22"/>
      </bottom>
      <diagonal/>
    </border>
    <border>
      <left/>
      <right/>
      <top style="medium">
        <color indexed="64"/>
      </top>
      <bottom style="hair">
        <color indexed="64"/>
      </bottom>
      <diagonal/>
    </border>
    <border>
      <left style="thin">
        <color indexed="22"/>
      </left>
      <right style="thin">
        <color indexed="22"/>
      </right>
      <top style="thin">
        <color indexed="22"/>
      </top>
      <bottom style="thin">
        <color indexed="64"/>
      </bottom>
      <diagonal/>
    </border>
    <border>
      <left/>
      <right style="medium">
        <color indexed="12"/>
      </right>
      <top/>
      <bottom style="medium">
        <color indexed="64"/>
      </bottom>
      <diagonal/>
    </border>
    <border>
      <left/>
      <right/>
      <top style="thin">
        <color indexed="64"/>
      </top>
      <bottom style="thin">
        <color indexed="64"/>
      </bottom>
      <diagonal/>
    </border>
    <border>
      <left/>
      <right/>
      <top/>
      <bottom style="medium">
        <color indexed="12"/>
      </bottom>
      <diagonal/>
    </border>
    <border>
      <left/>
      <right style="thin">
        <color indexed="22"/>
      </right>
      <top/>
      <bottom style="medium">
        <color indexed="12"/>
      </bottom>
      <diagonal/>
    </border>
    <border>
      <left style="medium">
        <color indexed="39"/>
      </left>
      <right/>
      <top style="medium">
        <color indexed="64"/>
      </top>
      <bottom/>
      <diagonal/>
    </border>
    <border>
      <left style="medium">
        <color indexed="12"/>
      </left>
      <right/>
      <top style="medium">
        <color indexed="64"/>
      </top>
      <bottom/>
      <diagonal/>
    </border>
    <border>
      <left style="medium">
        <color indexed="64"/>
      </left>
      <right/>
      <top style="medium">
        <color indexed="64"/>
      </top>
      <bottom/>
      <diagonal/>
    </border>
    <border>
      <left/>
      <right style="medium">
        <color indexed="39"/>
      </right>
      <top style="medium">
        <color indexed="64"/>
      </top>
      <bottom/>
      <diagonal/>
    </border>
    <border>
      <left style="medium">
        <color indexed="12"/>
      </left>
      <right/>
      <top/>
      <bottom style="thin">
        <color indexed="22"/>
      </bottom>
      <diagonal/>
    </border>
    <border>
      <left/>
      <right style="thin">
        <color indexed="22"/>
      </right>
      <top/>
      <bottom style="thin">
        <color indexed="22"/>
      </bottom>
      <diagonal/>
    </border>
    <border>
      <left/>
      <right style="medium">
        <color indexed="64"/>
      </right>
      <top style="thin">
        <color indexed="22"/>
      </top>
      <bottom style="thin">
        <color indexed="22"/>
      </bottom>
      <diagonal/>
    </border>
    <border>
      <left style="medium">
        <color indexed="12"/>
      </left>
      <right/>
      <top style="thin">
        <color indexed="22"/>
      </top>
      <bottom/>
      <diagonal/>
    </border>
    <border>
      <left/>
      <right style="thin">
        <color indexed="22"/>
      </right>
      <top style="thin">
        <color indexed="22"/>
      </top>
      <bottom/>
      <diagonal/>
    </border>
    <border>
      <left style="medium">
        <color indexed="64"/>
      </left>
      <right/>
      <top/>
      <bottom style="thin">
        <color indexed="22"/>
      </bottom>
      <diagonal/>
    </border>
    <border>
      <left style="medium">
        <color indexed="12"/>
      </left>
      <right style="medium">
        <color indexed="64"/>
      </right>
      <top/>
      <bottom/>
      <diagonal/>
    </border>
    <border>
      <left style="medium">
        <color indexed="12"/>
      </left>
      <right/>
      <top/>
      <bottom style="medium">
        <color indexed="12"/>
      </bottom>
      <diagonal/>
    </border>
    <border>
      <left/>
      <right style="medium">
        <color indexed="64"/>
      </right>
      <top/>
      <bottom style="medium">
        <color indexed="12"/>
      </bottom>
      <diagonal/>
    </border>
  </borders>
  <cellStyleXfs count="2">
    <xf numFmtId="0" fontId="0" fillId="0" borderId="0"/>
    <xf numFmtId="0" fontId="20" fillId="0" borderId="0" applyNumberFormat="0" applyFill="0" applyBorder="0" applyAlignment="0" applyProtection="0">
      <alignment vertical="top"/>
      <protection locked="0"/>
    </xf>
  </cellStyleXfs>
  <cellXfs count="412">
    <xf numFmtId="0" fontId="0" fillId="0" borderId="0" xfId="0"/>
    <xf numFmtId="0" fontId="0" fillId="0" borderId="0" xfId="0" applyBorder="1"/>
    <xf numFmtId="0" fontId="0" fillId="0" borderId="0" xfId="0" applyAlignment="1">
      <alignment wrapText="1"/>
    </xf>
    <xf numFmtId="0" fontId="0" fillId="0" borderId="2" xfId="0" applyBorder="1"/>
    <xf numFmtId="0" fontId="0" fillId="0" borderId="3" xfId="0" applyBorder="1" applyAlignment="1">
      <alignment horizontal="right"/>
    </xf>
    <xf numFmtId="0" fontId="0" fillId="0" borderId="0" xfId="0" applyBorder="1" applyAlignment="1">
      <alignment horizontal="right"/>
    </xf>
    <xf numFmtId="0" fontId="0" fillId="0" borderId="4" xfId="0" applyBorder="1"/>
    <xf numFmtId="0" fontId="0" fillId="0" borderId="5" xfId="0" applyBorder="1" applyAlignment="1">
      <alignment horizontal="right"/>
    </xf>
    <xf numFmtId="0" fontId="0" fillId="0" borderId="6" xfId="0" applyBorder="1"/>
    <xf numFmtId="0" fontId="0" fillId="0" borderId="2" xfId="0" applyBorder="1" applyAlignment="1"/>
    <xf numFmtId="0" fontId="0" fillId="0" borderId="7" xfId="0" applyBorder="1" applyAlignment="1"/>
    <xf numFmtId="0" fontId="0" fillId="0" borderId="4" xfId="0" applyBorder="1" applyAlignment="1"/>
    <xf numFmtId="0" fontId="20" fillId="0" borderId="0" xfId="1" applyFont="1" applyAlignment="1" applyProtection="1"/>
    <xf numFmtId="188" fontId="0" fillId="0" borderId="0" xfId="0" applyNumberFormat="1"/>
    <xf numFmtId="2" fontId="0" fillId="0" borderId="4" xfId="0" applyNumberFormat="1" applyBorder="1"/>
    <xf numFmtId="0" fontId="0" fillId="0" borderId="0" xfId="0" applyAlignment="1" applyProtection="1">
      <alignment shrinkToFit="1"/>
      <protection locked="0" hidden="1"/>
    </xf>
    <xf numFmtId="0" fontId="0" fillId="0" borderId="0" xfId="0" applyAlignment="1" applyProtection="1">
      <alignment shrinkToFit="1"/>
      <protection hidden="1"/>
    </xf>
    <xf numFmtId="0" fontId="6" fillId="0" borderId="0" xfId="0" applyFont="1" applyBorder="1" applyAlignment="1" applyProtection="1">
      <alignment horizontal="right" vertical="center" shrinkToFit="1"/>
      <protection hidden="1"/>
    </xf>
    <xf numFmtId="2" fontId="10" fillId="2" borderId="1" xfId="0" applyNumberFormat="1" applyFont="1" applyFill="1" applyBorder="1" applyAlignment="1" applyProtection="1">
      <alignment horizontal="right" shrinkToFit="1"/>
      <protection hidden="1"/>
    </xf>
    <xf numFmtId="0" fontId="10" fillId="3" borderId="8" xfId="0" applyFont="1" applyFill="1" applyBorder="1" applyAlignment="1" applyProtection="1">
      <alignment shrinkToFit="1"/>
      <protection locked="0"/>
    </xf>
    <xf numFmtId="0" fontId="0" fillId="0" borderId="9" xfId="0" applyBorder="1" applyAlignment="1" applyProtection="1">
      <alignment shrinkToFit="1"/>
      <protection hidden="1"/>
    </xf>
    <xf numFmtId="0" fontId="10" fillId="4" borderId="8" xfId="0" applyFont="1" applyFill="1" applyBorder="1" applyAlignment="1" applyProtection="1">
      <alignment shrinkToFit="1"/>
      <protection locked="0"/>
    </xf>
    <xf numFmtId="0" fontId="10" fillId="3" borderId="1" xfId="0" applyFont="1" applyFill="1" applyBorder="1" applyAlignment="1" applyProtection="1">
      <alignment shrinkToFit="1"/>
      <protection locked="0"/>
    </xf>
    <xf numFmtId="0" fontId="10" fillId="4" borderId="1" xfId="0" applyFont="1" applyFill="1" applyBorder="1" applyAlignment="1" applyProtection="1">
      <alignment shrinkToFit="1"/>
      <protection locked="0"/>
    </xf>
    <xf numFmtId="2" fontId="10" fillId="2" borderId="1" xfId="0" applyNumberFormat="1" applyFont="1" applyFill="1" applyBorder="1" applyAlignment="1" applyProtection="1">
      <alignment shrinkToFit="1"/>
      <protection hidden="1"/>
    </xf>
    <xf numFmtId="0" fontId="0" fillId="0" borderId="10" xfId="0" applyBorder="1" applyAlignment="1" applyProtection="1">
      <alignment shrinkToFit="1"/>
      <protection hidden="1"/>
    </xf>
    <xf numFmtId="2" fontId="10" fillId="4" borderId="1" xfId="0" applyNumberFormat="1" applyFont="1" applyFill="1" applyBorder="1" applyAlignment="1" applyProtection="1">
      <alignment shrinkToFit="1"/>
      <protection locked="0"/>
    </xf>
    <xf numFmtId="2" fontId="10" fillId="3" borderId="1" xfId="0" applyNumberFormat="1" applyFont="1" applyFill="1" applyBorder="1" applyAlignment="1" applyProtection="1">
      <alignment shrinkToFit="1"/>
      <protection locked="0"/>
    </xf>
    <xf numFmtId="2" fontId="10" fillId="2" borderId="11" xfId="0" applyNumberFormat="1" applyFont="1" applyFill="1" applyBorder="1" applyAlignment="1" applyProtection="1">
      <alignment shrinkToFit="1"/>
      <protection hidden="1"/>
    </xf>
    <xf numFmtId="0" fontId="13" fillId="0" borderId="12" xfId="0" applyFont="1" applyFill="1" applyBorder="1" applyAlignment="1" applyProtection="1">
      <alignment shrinkToFit="1"/>
      <protection hidden="1"/>
    </xf>
    <xf numFmtId="0" fontId="14" fillId="0" borderId="12" xfId="0" applyFont="1" applyBorder="1" applyAlignment="1" applyProtection="1">
      <alignment shrinkToFit="1"/>
      <protection hidden="1"/>
    </xf>
    <xf numFmtId="0" fontId="13" fillId="0" borderId="12" xfId="0" applyFont="1" applyBorder="1" applyAlignment="1" applyProtection="1">
      <alignment shrinkToFit="1"/>
      <protection hidden="1"/>
    </xf>
    <xf numFmtId="0" fontId="10" fillId="3" borderId="1" xfId="0" applyNumberFormat="1" applyFont="1" applyFill="1" applyBorder="1" applyAlignment="1" applyProtection="1">
      <alignment shrinkToFit="1"/>
      <protection locked="0"/>
    </xf>
    <xf numFmtId="2" fontId="13" fillId="0" borderId="9" xfId="0" applyNumberFormat="1" applyFont="1" applyBorder="1" applyAlignment="1" applyProtection="1">
      <alignment horizontal="left" shrinkToFit="1"/>
      <protection hidden="1"/>
    </xf>
    <xf numFmtId="0" fontId="0" fillId="0" borderId="0" xfId="0" applyFill="1" applyAlignment="1" applyProtection="1">
      <alignment shrinkToFit="1"/>
      <protection locked="0" hidden="1"/>
    </xf>
    <xf numFmtId="0" fontId="0" fillId="0" borderId="0" xfId="0" applyFill="1" applyAlignment="1" applyProtection="1">
      <alignment shrinkToFit="1"/>
      <protection hidden="1"/>
    </xf>
    <xf numFmtId="0" fontId="13" fillId="0" borderId="13" xfId="0" applyFont="1" applyBorder="1" applyAlignment="1" applyProtection="1">
      <alignment shrinkToFit="1"/>
      <protection hidden="1"/>
    </xf>
    <xf numFmtId="0" fontId="14" fillId="0" borderId="14" xfId="0" applyFont="1" applyBorder="1" applyAlignment="1" applyProtection="1">
      <alignment shrinkToFit="1"/>
      <protection hidden="1"/>
    </xf>
    <xf numFmtId="2" fontId="13" fillId="0" borderId="0" xfId="0" applyNumberFormat="1" applyFont="1" applyBorder="1" applyAlignment="1" applyProtection="1">
      <alignment shrinkToFit="1"/>
      <protection hidden="1"/>
    </xf>
    <xf numFmtId="2" fontId="13" fillId="0" borderId="12" xfId="0" applyNumberFormat="1" applyFont="1" applyBorder="1" applyAlignment="1" applyProtection="1">
      <alignment shrinkToFit="1"/>
      <protection hidden="1"/>
    </xf>
    <xf numFmtId="2" fontId="14" fillId="0" borderId="0" xfId="0" applyNumberFormat="1" applyFont="1" applyBorder="1" applyAlignment="1" applyProtection="1">
      <alignment shrinkToFit="1"/>
      <protection hidden="1"/>
    </xf>
    <xf numFmtId="0" fontId="10" fillId="0" borderId="15" xfId="0" applyFont="1" applyBorder="1" applyAlignment="1" applyProtection="1">
      <alignment horizontal="right" shrinkToFit="1"/>
      <protection hidden="1"/>
    </xf>
    <xf numFmtId="2" fontId="0" fillId="0" borderId="0" xfId="0" applyNumberFormat="1" applyAlignment="1" applyProtection="1">
      <alignment shrinkToFit="1"/>
      <protection locked="0" hidden="1"/>
    </xf>
    <xf numFmtId="0" fontId="10" fillId="0" borderId="16" xfId="0" applyFont="1" applyBorder="1" applyAlignment="1" applyProtection="1">
      <alignment horizontal="right" shrinkToFit="1"/>
      <protection hidden="1"/>
    </xf>
    <xf numFmtId="0" fontId="10" fillId="4" borderId="17" xfId="0" applyNumberFormat="1" applyFont="1" applyFill="1" applyBorder="1" applyAlignment="1" applyProtection="1">
      <alignment shrinkToFit="1"/>
      <protection locked="0"/>
    </xf>
    <xf numFmtId="0" fontId="13" fillId="0" borderId="10" xfId="0" applyFont="1" applyFill="1" applyBorder="1" applyAlignment="1" applyProtection="1">
      <alignment shrinkToFit="1"/>
      <protection hidden="1"/>
    </xf>
    <xf numFmtId="0" fontId="10" fillId="0" borderId="0" xfId="0" applyFont="1" applyAlignment="1" applyProtection="1">
      <alignment shrinkToFit="1"/>
      <protection hidden="1"/>
    </xf>
    <xf numFmtId="2" fontId="10" fillId="4" borderId="17" xfId="0" applyNumberFormat="1" applyFont="1" applyFill="1" applyBorder="1" applyAlignment="1" applyProtection="1">
      <alignment shrinkToFit="1"/>
      <protection locked="0" hidden="1"/>
    </xf>
    <xf numFmtId="0" fontId="14" fillId="0" borderId="10" xfId="0" applyFont="1" applyFill="1" applyBorder="1" applyAlignment="1" applyProtection="1">
      <alignment shrinkToFit="1"/>
      <protection hidden="1"/>
    </xf>
    <xf numFmtId="2" fontId="10" fillId="2" borderId="18" xfId="0" applyNumberFormat="1" applyFont="1" applyFill="1" applyBorder="1" applyAlignment="1" applyProtection="1">
      <alignment shrinkToFit="1"/>
      <protection hidden="1"/>
    </xf>
    <xf numFmtId="0" fontId="0" fillId="0" borderId="0" xfId="0" applyFill="1" applyBorder="1" applyAlignment="1" applyProtection="1">
      <alignment horizontal="center" shrinkToFit="1"/>
      <protection hidden="1"/>
    </xf>
    <xf numFmtId="0" fontId="10" fillId="3" borderId="1" xfId="0" applyFont="1" applyFill="1" applyBorder="1" applyAlignment="1" applyProtection="1">
      <alignment horizontal="left" vertical="center" shrinkToFit="1"/>
      <protection locked="0"/>
    </xf>
    <xf numFmtId="0" fontId="10" fillId="0" borderId="19" xfId="0" applyFont="1" applyBorder="1" applyAlignment="1" applyProtection="1">
      <alignment horizontal="left" shrinkToFit="1"/>
      <protection hidden="1"/>
    </xf>
    <xf numFmtId="0" fontId="10" fillId="0" borderId="20" xfId="0" applyFont="1" applyBorder="1" applyAlignment="1" applyProtection="1">
      <alignment horizontal="left" shrinkToFit="1"/>
      <protection hidden="1"/>
    </xf>
    <xf numFmtId="0" fontId="3" fillId="0" borderId="0" xfId="0" applyFont="1" applyBorder="1" applyAlignment="1" applyProtection="1">
      <alignment horizontal="left" shrinkToFit="1"/>
      <protection hidden="1"/>
    </xf>
    <xf numFmtId="0" fontId="10" fillId="0" borderId="21" xfId="0" applyFont="1" applyBorder="1" applyAlignment="1" applyProtection="1">
      <alignment horizontal="left" shrinkToFit="1"/>
      <protection hidden="1"/>
    </xf>
    <xf numFmtId="0" fontId="10" fillId="0" borderId="22" xfId="0" applyFont="1" applyBorder="1" applyAlignment="1" applyProtection="1">
      <alignment horizontal="left" shrinkToFit="1"/>
      <protection hidden="1"/>
    </xf>
    <xf numFmtId="0" fontId="9" fillId="0" borderId="0" xfId="0" applyFont="1" applyFill="1" applyAlignment="1">
      <alignment wrapText="1" shrinkToFit="1"/>
    </xf>
    <xf numFmtId="0" fontId="0" fillId="0" borderId="0" xfId="0" applyFill="1" applyAlignment="1">
      <alignment wrapText="1" shrinkToFit="1"/>
    </xf>
    <xf numFmtId="0" fontId="12" fillId="0" borderId="0" xfId="0" applyFont="1" applyFill="1" applyAlignment="1">
      <alignment horizontal="left" wrapText="1" shrinkToFit="1"/>
    </xf>
    <xf numFmtId="0" fontId="21" fillId="0" borderId="0" xfId="0" applyFont="1" applyFill="1" applyAlignment="1">
      <alignment horizontal="left" wrapText="1" shrinkToFit="1"/>
    </xf>
    <xf numFmtId="0" fontId="9" fillId="5" borderId="0" xfId="0" applyFont="1" applyFill="1" applyAlignment="1">
      <alignment horizontal="left" wrapText="1" shrinkToFit="1"/>
    </xf>
    <xf numFmtId="0" fontId="10" fillId="5" borderId="0" xfId="0" applyFont="1" applyFill="1" applyAlignment="1">
      <alignment wrapText="1" shrinkToFit="1"/>
    </xf>
    <xf numFmtId="0" fontId="22" fillId="0" borderId="0" xfId="0" applyFont="1"/>
    <xf numFmtId="0" fontId="10" fillId="0" borderId="0" xfId="0" applyFont="1" applyFill="1" applyAlignment="1">
      <alignment wrapText="1" shrinkToFit="1"/>
    </xf>
    <xf numFmtId="0" fontId="13" fillId="0" borderId="0" xfId="0" applyFont="1" applyFill="1" applyAlignment="1">
      <alignment wrapText="1" shrinkToFit="1"/>
    </xf>
    <xf numFmtId="0" fontId="13" fillId="0" borderId="9" xfId="0" applyFont="1" applyFill="1" applyBorder="1" applyAlignment="1" applyProtection="1">
      <alignment shrinkToFit="1"/>
      <protection locked="0"/>
    </xf>
    <xf numFmtId="0" fontId="13" fillId="0" borderId="23" xfId="0" applyFont="1" applyBorder="1" applyAlignment="1" applyProtection="1">
      <alignment vertical="center" shrinkToFit="1"/>
      <protection hidden="1"/>
    </xf>
    <xf numFmtId="0" fontId="10" fillId="0" borderId="21" xfId="0" applyFont="1" applyFill="1" applyBorder="1" applyAlignment="1" applyProtection="1">
      <alignment shrinkToFit="1"/>
      <protection locked="0"/>
    </xf>
    <xf numFmtId="0" fontId="10" fillId="0" borderId="24" xfId="0" applyFont="1" applyBorder="1" applyAlignment="1">
      <alignment wrapText="1"/>
    </xf>
    <xf numFmtId="0" fontId="10" fillId="4" borderId="25" xfId="0" applyFont="1" applyFill="1" applyBorder="1" applyAlignment="1">
      <alignment horizontal="center" wrapText="1"/>
    </xf>
    <xf numFmtId="0" fontId="10" fillId="4" borderId="26" xfId="0" applyFont="1" applyFill="1" applyBorder="1" applyAlignment="1">
      <alignment horizontal="center" wrapText="1"/>
    </xf>
    <xf numFmtId="0" fontId="10" fillId="4" borderId="24" xfId="0" applyFont="1" applyFill="1" applyBorder="1" applyAlignment="1">
      <alignment horizontal="center" wrapText="1"/>
    </xf>
    <xf numFmtId="0" fontId="10" fillId="2" borderId="24" xfId="0" applyFont="1" applyFill="1" applyBorder="1" applyAlignment="1">
      <alignment wrapText="1"/>
    </xf>
    <xf numFmtId="0" fontId="10" fillId="2" borderId="24" xfId="0" applyFont="1" applyFill="1" applyBorder="1" applyAlignment="1">
      <alignment horizontal="center" wrapText="1"/>
    </xf>
    <xf numFmtId="2" fontId="10" fillId="2" borderId="24" xfId="0" applyNumberFormat="1" applyFont="1" applyFill="1" applyBorder="1" applyAlignment="1">
      <alignment horizontal="center" wrapText="1"/>
    </xf>
    <xf numFmtId="0" fontId="0" fillId="0" borderId="23" xfId="0" applyBorder="1" applyAlignment="1" applyProtection="1">
      <alignment shrinkToFit="1"/>
      <protection hidden="1"/>
    </xf>
    <xf numFmtId="0" fontId="13" fillId="0" borderId="10" xfId="0" applyFont="1" applyBorder="1" applyAlignment="1" applyProtection="1">
      <alignment horizontal="left" vertical="center" shrinkToFit="1"/>
      <protection hidden="1"/>
    </xf>
    <xf numFmtId="0" fontId="0" fillId="0" borderId="27" xfId="0" applyBorder="1" applyAlignment="1" applyProtection="1">
      <alignment shrinkToFit="1"/>
      <protection hidden="1"/>
    </xf>
    <xf numFmtId="0" fontId="10" fillId="4" borderId="28" xfId="0" applyFont="1" applyFill="1" applyBorder="1" applyAlignment="1" applyProtection="1">
      <alignment shrinkToFit="1"/>
      <protection locked="0"/>
    </xf>
    <xf numFmtId="0" fontId="10" fillId="0" borderId="0" xfId="0" applyFont="1" applyBorder="1" applyAlignment="1" applyProtection="1">
      <alignment horizontal="center" vertical="center" shrinkToFit="1"/>
      <protection hidden="1"/>
    </xf>
    <xf numFmtId="1" fontId="0" fillId="0" borderId="4" xfId="0" applyNumberFormat="1" applyBorder="1"/>
    <xf numFmtId="1" fontId="10" fillId="2" borderId="1" xfId="0" applyNumberFormat="1" applyFont="1" applyFill="1" applyBorder="1" applyAlignment="1" applyProtection="1">
      <alignment shrinkToFit="1"/>
      <protection hidden="1"/>
    </xf>
    <xf numFmtId="2" fontId="10" fillId="2" borderId="17" xfId="0" applyNumberFormat="1" applyFont="1" applyFill="1" applyBorder="1" applyAlignment="1" applyProtection="1">
      <alignment shrinkToFit="1"/>
      <protection hidden="1"/>
    </xf>
    <xf numFmtId="0" fontId="10" fillId="0" borderId="19" xfId="0" applyFont="1" applyBorder="1" applyAlignment="1" applyProtection="1">
      <alignment shrinkToFit="1"/>
      <protection hidden="1"/>
    </xf>
    <xf numFmtId="0" fontId="10" fillId="0" borderId="29" xfId="0" applyFont="1" applyBorder="1" applyAlignment="1" applyProtection="1">
      <alignment shrinkToFit="1"/>
      <protection hidden="1"/>
    </xf>
    <xf numFmtId="0" fontId="10" fillId="0" borderId="19" xfId="0" applyFont="1" applyBorder="1" applyAlignment="1" applyProtection="1">
      <alignment horizontal="left"/>
      <protection hidden="1"/>
    </xf>
    <xf numFmtId="0" fontId="10" fillId="4" borderId="30" xfId="0" applyFont="1" applyFill="1" applyBorder="1" applyAlignment="1" applyProtection="1">
      <alignment horizontal="right"/>
      <protection locked="0"/>
    </xf>
    <xf numFmtId="0" fontId="10" fillId="4" borderId="1" xfId="0" applyFont="1" applyFill="1" applyBorder="1" applyAlignment="1" applyProtection="1">
      <alignment horizontal="right"/>
      <protection locked="0"/>
    </xf>
    <xf numFmtId="0" fontId="0" fillId="0" borderId="31" xfId="0" applyBorder="1" applyProtection="1">
      <protection hidden="1"/>
    </xf>
    <xf numFmtId="0" fontId="10" fillId="0" borderId="0" xfId="0" applyFont="1" applyBorder="1" applyAlignment="1" applyProtection="1">
      <alignment horizontal="left" vertical="center" shrinkToFit="1"/>
      <protection hidden="1"/>
    </xf>
    <xf numFmtId="0" fontId="7" fillId="0" borderId="0" xfId="0" applyFont="1" applyBorder="1" applyAlignment="1" applyProtection="1">
      <alignment horizontal="left" shrinkToFit="1"/>
      <protection hidden="1"/>
    </xf>
    <xf numFmtId="0" fontId="10" fillId="0" borderId="32" xfId="0" applyFont="1" applyFill="1" applyBorder="1" applyAlignment="1" applyProtection="1">
      <alignment shrinkToFit="1"/>
      <protection locked="0"/>
    </xf>
    <xf numFmtId="0" fontId="0" fillId="0" borderId="33" xfId="0" applyBorder="1" applyAlignment="1" applyProtection="1">
      <alignment shrinkToFit="1"/>
      <protection hidden="1"/>
    </xf>
    <xf numFmtId="0" fontId="0" fillId="0" borderId="34" xfId="0" applyBorder="1" applyAlignment="1" applyProtection="1">
      <alignment shrinkToFit="1"/>
      <protection hidden="1"/>
    </xf>
    <xf numFmtId="0" fontId="0" fillId="0" borderId="35" xfId="0" applyBorder="1" applyAlignment="1" applyProtection="1">
      <alignment shrinkToFit="1"/>
      <protection hidden="1"/>
    </xf>
    <xf numFmtId="0" fontId="14" fillId="0" borderId="33" xfId="0" applyFont="1" applyBorder="1" applyAlignment="1" applyProtection="1">
      <alignment shrinkToFit="1"/>
      <protection hidden="1"/>
    </xf>
    <xf numFmtId="0" fontId="0" fillId="0" borderId="33" xfId="0" applyBorder="1" applyAlignment="1" applyProtection="1">
      <alignment horizontal="left" vertical="center" shrinkToFit="1"/>
      <protection hidden="1"/>
    </xf>
    <xf numFmtId="0" fontId="13" fillId="0" borderId="36" xfId="0" applyFont="1" applyBorder="1" applyAlignment="1" applyProtection="1">
      <alignment shrinkToFit="1"/>
      <protection hidden="1"/>
    </xf>
    <xf numFmtId="0" fontId="14" fillId="0" borderId="37" xfId="0" applyFont="1" applyBorder="1" applyProtection="1">
      <protection hidden="1"/>
    </xf>
    <xf numFmtId="0" fontId="10" fillId="0" borderId="3" xfId="0" applyFont="1" applyBorder="1" applyAlignment="1">
      <alignment horizontal="right"/>
    </xf>
    <xf numFmtId="0" fontId="10" fillId="0" borderId="7" xfId="0" applyFont="1" applyBorder="1" applyAlignment="1">
      <alignment horizontal="right"/>
    </xf>
    <xf numFmtId="0" fontId="10" fillId="0" borderId="7" xfId="0" applyFont="1" applyBorder="1" applyAlignment="1"/>
    <xf numFmtId="0" fontId="10" fillId="0" borderId="0" xfId="0" applyFont="1" applyBorder="1" applyAlignment="1">
      <alignment horizontal="right"/>
    </xf>
    <xf numFmtId="2" fontId="0" fillId="0" borderId="4" xfId="0" applyNumberFormat="1" applyBorder="1" applyAlignment="1">
      <alignment horizontal="right"/>
    </xf>
    <xf numFmtId="0" fontId="13" fillId="0" borderId="3" xfId="0" applyFont="1" applyBorder="1" applyAlignment="1">
      <alignment horizontal="right"/>
    </xf>
    <xf numFmtId="2" fontId="0" fillId="0" borderId="0" xfId="0" applyNumberFormat="1"/>
    <xf numFmtId="0" fontId="23" fillId="0" borderId="0" xfId="0" applyFont="1"/>
    <xf numFmtId="0" fontId="10" fillId="0" borderId="3" xfId="0" applyFont="1" applyBorder="1" applyAlignment="1">
      <alignment horizontal="left"/>
    </xf>
    <xf numFmtId="2" fontId="23" fillId="0" borderId="0" xfId="0" applyNumberFormat="1" applyFont="1"/>
    <xf numFmtId="0" fontId="13" fillId="0" borderId="4" xfId="0" applyFont="1" applyBorder="1" applyAlignment="1"/>
    <xf numFmtId="0" fontId="13" fillId="0" borderId="38" xfId="0" applyFont="1" applyBorder="1" applyAlignment="1"/>
    <xf numFmtId="0" fontId="13" fillId="0" borderId="39" xfId="0" applyFont="1" applyBorder="1" applyAlignment="1"/>
    <xf numFmtId="0" fontId="13" fillId="0" borderId="40" xfId="0" applyFont="1" applyBorder="1" applyAlignment="1"/>
    <xf numFmtId="0" fontId="0" fillId="0" borderId="6" xfId="0" applyBorder="1" applyAlignment="1"/>
    <xf numFmtId="0" fontId="13" fillId="0" borderId="0" xfId="0" applyFont="1" applyBorder="1" applyAlignment="1">
      <alignment horizontal="right"/>
    </xf>
    <xf numFmtId="0" fontId="13" fillId="0" borderId="41" xfId="0" applyFont="1" applyBorder="1" applyAlignment="1">
      <alignment horizontal="right"/>
    </xf>
    <xf numFmtId="0" fontId="13" fillId="0" borderId="30" xfId="0" applyFont="1" applyBorder="1" applyAlignment="1">
      <alignment horizontal="right"/>
    </xf>
    <xf numFmtId="0" fontId="13" fillId="0" borderId="42" xfId="0" applyFont="1" applyBorder="1" applyAlignment="1">
      <alignment horizontal="right"/>
    </xf>
    <xf numFmtId="0" fontId="1" fillId="0" borderId="0" xfId="0" applyFont="1"/>
    <xf numFmtId="0" fontId="10" fillId="0" borderId="41" xfId="0" applyFont="1" applyBorder="1" applyAlignment="1">
      <alignment horizontal="right"/>
    </xf>
    <xf numFmtId="0" fontId="10" fillId="0" borderId="26" xfId="0" applyFont="1" applyBorder="1" applyAlignment="1">
      <alignment horizontal="right"/>
    </xf>
    <xf numFmtId="2" fontId="0" fillId="0" borderId="4" xfId="0" applyNumberFormat="1" applyBorder="1" applyAlignment="1"/>
    <xf numFmtId="0" fontId="10" fillId="0" borderId="29" xfId="0" applyFont="1" applyBorder="1" applyAlignment="1" applyProtection="1">
      <alignment horizontal="left" shrinkToFit="1"/>
      <protection hidden="1"/>
    </xf>
    <xf numFmtId="0" fontId="19" fillId="0" borderId="19" xfId="0" applyFont="1" applyBorder="1" applyAlignment="1" applyProtection="1">
      <alignment horizontal="right" shrinkToFit="1"/>
      <protection hidden="1"/>
    </xf>
    <xf numFmtId="0" fontId="13" fillId="0" borderId="43" xfId="0" applyFont="1" applyBorder="1" applyAlignment="1" applyProtection="1">
      <alignment shrinkToFit="1"/>
      <protection hidden="1"/>
    </xf>
    <xf numFmtId="0" fontId="0" fillId="0" borderId="44" xfId="0" applyBorder="1" applyAlignment="1" applyProtection="1">
      <alignment horizontal="right"/>
      <protection hidden="1"/>
    </xf>
    <xf numFmtId="0" fontId="0" fillId="0" borderId="25" xfId="0" applyBorder="1" applyAlignment="1"/>
    <xf numFmtId="0" fontId="0" fillId="0" borderId="45" xfId="0" applyBorder="1" applyAlignment="1"/>
    <xf numFmtId="0" fontId="0" fillId="0" borderId="0" xfId="0" applyBorder="1" applyAlignment="1" applyProtection="1">
      <alignment horizontal="right"/>
      <protection hidden="1"/>
    </xf>
    <xf numFmtId="2" fontId="0" fillId="0" borderId="0" xfId="0" applyNumberFormat="1" applyBorder="1" applyAlignment="1" applyProtection="1">
      <alignment horizontal="right"/>
      <protection hidden="1"/>
    </xf>
    <xf numFmtId="0" fontId="10" fillId="0" borderId="46" xfId="0" applyFont="1" applyBorder="1" applyAlignment="1" applyProtection="1">
      <alignment horizontal="right" shrinkToFit="1"/>
      <protection hidden="1"/>
    </xf>
    <xf numFmtId="0" fontId="10" fillId="0" borderId="0" xfId="0" applyFont="1" applyBorder="1" applyAlignment="1" applyProtection="1">
      <alignment horizontal="right" shrinkToFit="1"/>
      <protection hidden="1"/>
    </xf>
    <xf numFmtId="0" fontId="25" fillId="4" borderId="30" xfId="0" applyFont="1" applyFill="1" applyBorder="1" applyAlignment="1" applyProtection="1"/>
    <xf numFmtId="0" fontId="25" fillId="4" borderId="47" xfId="0" applyFont="1" applyFill="1" applyBorder="1" applyAlignment="1" applyProtection="1"/>
    <xf numFmtId="0" fontId="25" fillId="4" borderId="47" xfId="0" applyFont="1" applyFill="1" applyBorder="1" applyAlignment="1" applyProtection="1">
      <protection locked="0"/>
    </xf>
    <xf numFmtId="0" fontId="25" fillId="4" borderId="48" xfId="0" applyFont="1" applyFill="1" applyBorder="1" applyAlignment="1" applyProtection="1">
      <protection locked="0"/>
    </xf>
    <xf numFmtId="0" fontId="16" fillId="4" borderId="1" xfId="0" applyFont="1" applyFill="1" applyBorder="1" applyProtection="1">
      <protection locked="0"/>
    </xf>
    <xf numFmtId="0" fontId="16" fillId="4" borderId="1" xfId="0" applyFont="1" applyFill="1" applyBorder="1" applyAlignment="1" applyProtection="1">
      <alignment wrapText="1"/>
    </xf>
    <xf numFmtId="0" fontId="16" fillId="4" borderId="1" xfId="0" applyFont="1" applyFill="1" applyBorder="1" applyProtection="1"/>
    <xf numFmtId="0" fontId="16" fillId="4" borderId="11" xfId="0" applyFont="1" applyFill="1" applyBorder="1" applyProtection="1"/>
    <xf numFmtId="0" fontId="16" fillId="4" borderId="11" xfId="0" applyFont="1" applyFill="1" applyBorder="1" applyProtection="1">
      <protection locked="0"/>
    </xf>
    <xf numFmtId="0" fontId="16" fillId="4" borderId="49" xfId="0" applyFont="1" applyFill="1" applyBorder="1" applyAlignment="1" applyProtection="1">
      <alignment horizontal="right"/>
    </xf>
    <xf numFmtId="0" fontId="16" fillId="3" borderId="49" xfId="0" applyFont="1" applyFill="1" applyBorder="1" applyProtection="1">
      <protection locked="0"/>
    </xf>
    <xf numFmtId="0" fontId="16" fillId="4" borderId="49" xfId="0" applyFont="1" applyFill="1" applyBorder="1" applyProtection="1">
      <protection locked="0"/>
    </xf>
    <xf numFmtId="0" fontId="16" fillId="4" borderId="50" xfId="0" applyFont="1" applyFill="1" applyBorder="1" applyAlignment="1" applyProtection="1">
      <alignment horizontal="right"/>
    </xf>
    <xf numFmtId="0" fontId="16" fillId="3" borderId="50" xfId="0" applyFont="1" applyFill="1" applyBorder="1" applyProtection="1">
      <protection locked="0"/>
    </xf>
    <xf numFmtId="0" fontId="16" fillId="4" borderId="50" xfId="0" applyFont="1" applyFill="1" applyBorder="1" applyProtection="1">
      <protection locked="0"/>
    </xf>
    <xf numFmtId="0" fontId="16" fillId="4" borderId="8" xfId="0" applyFont="1" applyFill="1" applyBorder="1" applyAlignment="1" applyProtection="1">
      <alignment horizontal="right"/>
    </xf>
    <xf numFmtId="0" fontId="16" fillId="4" borderId="8" xfId="0" applyFont="1" applyFill="1" applyBorder="1" applyAlignment="1" applyProtection="1">
      <alignment horizontal="right"/>
      <protection locked="0"/>
    </xf>
    <xf numFmtId="0" fontId="10" fillId="4" borderId="1" xfId="0" applyFont="1" applyFill="1" applyBorder="1" applyAlignment="1" applyProtection="1">
      <alignment horizontal="right"/>
    </xf>
    <xf numFmtId="0" fontId="16" fillId="4" borderId="1" xfId="0" applyFont="1" applyFill="1" applyBorder="1" applyAlignment="1" applyProtection="1">
      <alignment horizontal="right"/>
      <protection locked="0"/>
    </xf>
    <xf numFmtId="0" fontId="16" fillId="4" borderId="1" xfId="0" applyFont="1" applyFill="1" applyBorder="1" applyAlignment="1" applyProtection="1">
      <alignment horizontal="right"/>
    </xf>
    <xf numFmtId="0" fontId="26" fillId="2" borderId="1" xfId="0" applyFont="1" applyFill="1" applyBorder="1" applyAlignment="1" applyProtection="1">
      <alignment horizontal="right"/>
    </xf>
    <xf numFmtId="0" fontId="16" fillId="2" borderId="1" xfId="0" applyFont="1" applyFill="1" applyBorder="1" applyProtection="1">
      <protection locked="0"/>
    </xf>
    <xf numFmtId="0" fontId="16" fillId="2" borderId="1" xfId="0" applyFont="1" applyFill="1" applyBorder="1" applyAlignment="1" applyProtection="1">
      <alignment horizontal="right"/>
    </xf>
    <xf numFmtId="0" fontId="16" fillId="4" borderId="11" xfId="0" applyFont="1" applyFill="1" applyBorder="1" applyAlignment="1" applyProtection="1">
      <alignment horizontal="right"/>
    </xf>
    <xf numFmtId="0" fontId="16" fillId="4" borderId="51" xfId="0" applyFont="1" applyFill="1" applyBorder="1" applyAlignment="1" applyProtection="1">
      <alignment horizontal="right"/>
    </xf>
    <xf numFmtId="0" fontId="16" fillId="4" borderId="51" xfId="0" applyFont="1" applyFill="1" applyBorder="1" applyProtection="1">
      <protection locked="0"/>
    </xf>
    <xf numFmtId="0" fontId="10" fillId="4" borderId="1" xfId="0" applyFont="1" applyFill="1" applyBorder="1" applyAlignment="1" applyProtection="1">
      <alignment horizontal="right" vertical="center"/>
    </xf>
    <xf numFmtId="0" fontId="16" fillId="4" borderId="49" xfId="0" applyFont="1" applyFill="1" applyBorder="1" applyProtection="1"/>
    <xf numFmtId="0" fontId="0" fillId="0" borderId="33" xfId="0" applyFill="1" applyBorder="1" applyAlignment="1" applyProtection="1">
      <alignment shrinkToFit="1"/>
      <protection hidden="1"/>
    </xf>
    <xf numFmtId="0" fontId="10" fillId="0" borderId="9" xfId="0" applyFont="1" applyFill="1" applyBorder="1" applyAlignment="1" applyProtection="1">
      <alignment shrinkToFit="1"/>
      <protection hidden="1"/>
    </xf>
    <xf numFmtId="0" fontId="0" fillId="0" borderId="10" xfId="0" applyFill="1" applyBorder="1" applyAlignment="1" applyProtection="1">
      <alignment shrinkToFit="1"/>
      <protection hidden="1"/>
    </xf>
    <xf numFmtId="0" fontId="10" fillId="0" borderId="52" xfId="0" applyFont="1" applyFill="1" applyBorder="1" applyAlignment="1" applyProtection="1">
      <alignment shrinkToFit="1"/>
      <protection hidden="1"/>
    </xf>
    <xf numFmtId="0" fontId="24" fillId="0" borderId="21" xfId="0" applyFont="1" applyFill="1" applyBorder="1" applyAlignment="1" applyProtection="1">
      <alignment horizontal="center" shrinkToFit="1"/>
      <protection hidden="1"/>
    </xf>
    <xf numFmtId="0" fontId="13" fillId="0" borderId="44" xfId="0" applyFont="1" applyBorder="1" applyAlignment="1" applyProtection="1">
      <alignment shrinkToFit="1"/>
      <protection locked="0"/>
    </xf>
    <xf numFmtId="0" fontId="19" fillId="0" borderId="53" xfId="0" applyFont="1" applyBorder="1" applyAlignment="1" applyProtection="1">
      <alignment shrinkToFit="1"/>
      <protection locked="0"/>
    </xf>
    <xf numFmtId="0" fontId="19" fillId="0" borderId="0" xfId="0" applyFont="1" applyFill="1" applyBorder="1" applyAlignment="1" applyProtection="1">
      <alignment shrinkToFit="1"/>
      <protection locked="0"/>
    </xf>
    <xf numFmtId="0" fontId="19" fillId="0" borderId="0" xfId="0" applyNumberFormat="1" applyFont="1" applyFill="1" applyBorder="1" applyAlignment="1" applyProtection="1">
      <alignment shrinkToFit="1"/>
      <protection locked="0"/>
    </xf>
    <xf numFmtId="0" fontId="6" fillId="0" borderId="0" xfId="0" applyFont="1" applyBorder="1" applyAlignment="1" applyProtection="1">
      <alignment horizontal="left" vertical="center" shrinkToFit="1"/>
      <protection locked="0"/>
    </xf>
    <xf numFmtId="14" fontId="6" fillId="0" borderId="0" xfId="0" applyNumberFormat="1" applyFont="1" applyBorder="1" applyAlignment="1" applyProtection="1">
      <alignment horizontal="left" vertical="center" shrinkToFit="1"/>
      <protection locked="0"/>
    </xf>
    <xf numFmtId="0" fontId="27" fillId="0" borderId="54" xfId="0" applyFont="1" applyFill="1" applyBorder="1" applyAlignment="1" applyProtection="1">
      <alignment shrinkToFit="1"/>
      <protection hidden="1"/>
    </xf>
    <xf numFmtId="2" fontId="10" fillId="5" borderId="8" xfId="0" applyNumberFormat="1" applyFont="1" applyFill="1" applyBorder="1" applyAlignment="1" applyProtection="1">
      <protection hidden="1"/>
    </xf>
    <xf numFmtId="0" fontId="0" fillId="5" borderId="8" xfId="0" applyFill="1" applyBorder="1" applyProtection="1">
      <protection hidden="1"/>
    </xf>
    <xf numFmtId="2" fontId="10" fillId="2" borderId="18" xfId="0" applyNumberFormat="1" applyFont="1" applyFill="1" applyBorder="1" applyProtection="1">
      <protection hidden="1"/>
    </xf>
    <xf numFmtId="2" fontId="10" fillId="5" borderId="8" xfId="0" applyNumberFormat="1" applyFont="1" applyFill="1" applyBorder="1" applyProtection="1">
      <protection hidden="1"/>
    </xf>
    <xf numFmtId="0" fontId="14" fillId="5" borderId="8" xfId="0" applyFont="1" applyFill="1" applyBorder="1" applyProtection="1">
      <protection hidden="1"/>
    </xf>
    <xf numFmtId="2" fontId="10" fillId="2" borderId="1" xfId="0" applyNumberFormat="1" applyFont="1" applyFill="1" applyBorder="1" applyAlignment="1" applyProtection="1">
      <protection hidden="1"/>
    </xf>
    <xf numFmtId="0" fontId="27" fillId="0" borderId="55" xfId="0" applyFont="1" applyFill="1" applyBorder="1" applyAlignment="1" applyProtection="1">
      <alignment shrinkToFit="1"/>
      <protection locked="0"/>
    </xf>
    <xf numFmtId="0" fontId="1" fillId="0" borderId="6" xfId="0" applyFont="1" applyBorder="1"/>
    <xf numFmtId="0" fontId="1" fillId="0" borderId="3" xfId="0" applyFont="1" applyBorder="1" applyAlignment="1">
      <alignment horizontal="right"/>
    </xf>
    <xf numFmtId="0" fontId="1" fillId="0" borderId="0" xfId="0" applyFont="1" applyBorder="1"/>
    <xf numFmtId="0" fontId="1" fillId="0" borderId="3" xfId="0" applyFont="1" applyBorder="1" applyAlignment="1"/>
    <xf numFmtId="0" fontId="27" fillId="4" borderId="24" xfId="0" applyFont="1" applyFill="1" applyBorder="1" applyAlignment="1">
      <alignment horizontal="center" wrapText="1"/>
    </xf>
    <xf numFmtId="0" fontId="27" fillId="2" borderId="24" xfId="0" applyFont="1" applyFill="1" applyBorder="1" applyAlignment="1">
      <alignment horizontal="center" wrapText="1"/>
    </xf>
    <xf numFmtId="0" fontId="0" fillId="0" borderId="0" xfId="0" applyFill="1" applyBorder="1" applyAlignment="1" applyProtection="1">
      <alignment horizontal="right" shrinkToFit="1"/>
      <protection hidden="1"/>
    </xf>
    <xf numFmtId="0" fontId="10" fillId="0" borderId="20" xfId="0" applyFont="1" applyBorder="1" applyAlignment="1" applyProtection="1">
      <alignment horizontal="left"/>
      <protection hidden="1"/>
    </xf>
    <xf numFmtId="2" fontId="10" fillId="3" borderId="17" xfId="0" applyNumberFormat="1" applyFont="1" applyFill="1" applyBorder="1" applyAlignment="1" applyProtection="1">
      <alignment shrinkToFit="1"/>
      <protection locked="0"/>
    </xf>
    <xf numFmtId="0" fontId="0" fillId="0" borderId="27" xfId="0" applyFill="1" applyBorder="1" applyAlignment="1" applyProtection="1">
      <alignment shrinkToFit="1"/>
      <protection hidden="1"/>
    </xf>
    <xf numFmtId="0" fontId="0" fillId="0" borderId="56" xfId="0" applyBorder="1" applyProtection="1">
      <protection hidden="1"/>
    </xf>
    <xf numFmtId="0" fontId="0" fillId="0" borderId="12" xfId="0" applyBorder="1" applyProtection="1">
      <protection hidden="1"/>
    </xf>
    <xf numFmtId="0" fontId="0" fillId="0" borderId="57" xfId="0" applyBorder="1" applyProtection="1">
      <protection hidden="1"/>
    </xf>
    <xf numFmtId="2" fontId="10" fillId="5" borderId="58" xfId="0" applyNumberFormat="1" applyFont="1" applyFill="1" applyBorder="1" applyAlignment="1" applyProtection="1">
      <alignment shrinkToFit="1"/>
      <protection locked="0"/>
    </xf>
    <xf numFmtId="2" fontId="10" fillId="3" borderId="0" xfId="0" applyNumberFormat="1" applyFont="1" applyFill="1" applyBorder="1" applyAlignment="1" applyProtection="1">
      <alignment shrinkToFit="1"/>
      <protection locked="0"/>
    </xf>
    <xf numFmtId="0" fontId="0" fillId="0" borderId="12" xfId="0" applyBorder="1" applyAlignment="1" applyProtection="1">
      <alignment shrinkToFit="1"/>
      <protection hidden="1"/>
    </xf>
    <xf numFmtId="0" fontId="10" fillId="2" borderId="59" xfId="0" applyFont="1" applyFill="1" applyBorder="1" applyAlignment="1" applyProtection="1">
      <alignment shrinkToFit="1"/>
      <protection hidden="1"/>
    </xf>
    <xf numFmtId="0" fontId="0" fillId="0" borderId="60" xfId="0" applyBorder="1" applyAlignment="1" applyProtection="1">
      <alignment shrinkToFit="1"/>
      <protection hidden="1"/>
    </xf>
    <xf numFmtId="0" fontId="13" fillId="0" borderId="10" xfId="0" applyFont="1" applyBorder="1" applyAlignment="1" applyProtection="1">
      <alignment shrinkToFit="1"/>
      <protection hidden="1"/>
    </xf>
    <xf numFmtId="0" fontId="10" fillId="4" borderId="1" xfId="0" applyFont="1" applyFill="1" applyBorder="1" applyAlignment="1" applyProtection="1">
      <alignment horizontal="right" wrapText="1" shrinkToFit="1"/>
      <protection locked="0"/>
    </xf>
    <xf numFmtId="0" fontId="10" fillId="4" borderId="61" xfId="0" applyFont="1" applyFill="1" applyBorder="1" applyAlignment="1" applyProtection="1">
      <alignment horizontal="right"/>
      <protection locked="0"/>
    </xf>
    <xf numFmtId="0" fontId="10" fillId="4" borderId="11" xfId="0" applyFont="1" applyFill="1" applyBorder="1" applyAlignment="1" applyProtection="1">
      <alignment horizontal="right"/>
      <protection locked="0"/>
    </xf>
    <xf numFmtId="0" fontId="13" fillId="0" borderId="62" xfId="0" applyFont="1" applyBorder="1" applyAlignment="1" applyProtection="1">
      <alignment shrinkToFit="1"/>
      <protection hidden="1"/>
    </xf>
    <xf numFmtId="0" fontId="14" fillId="0" borderId="63" xfId="0" applyFont="1" applyBorder="1" applyProtection="1">
      <protection hidden="1"/>
    </xf>
    <xf numFmtId="0" fontId="0" fillId="5" borderId="57" xfId="0" applyFill="1" applyBorder="1" applyProtection="1">
      <protection hidden="1"/>
    </xf>
    <xf numFmtId="0" fontId="14" fillId="5" borderId="56" xfId="0" applyFont="1" applyFill="1" applyBorder="1" applyProtection="1">
      <protection hidden="1"/>
    </xf>
    <xf numFmtId="0" fontId="10" fillId="4" borderId="1" xfId="0" applyNumberFormat="1" applyFont="1" applyFill="1" applyBorder="1" applyAlignment="1" applyProtection="1">
      <alignment horizontal="right" shrinkToFit="1"/>
      <protection locked="0"/>
    </xf>
    <xf numFmtId="0" fontId="14" fillId="5" borderId="57" xfId="0" applyFont="1" applyFill="1" applyBorder="1" applyProtection="1">
      <protection hidden="1"/>
    </xf>
    <xf numFmtId="2" fontId="10" fillId="2" borderId="11" xfId="0" applyNumberFormat="1" applyFont="1" applyFill="1" applyBorder="1" applyProtection="1">
      <protection hidden="1"/>
    </xf>
    <xf numFmtId="0" fontId="14" fillId="5" borderId="64" xfId="0" applyFont="1" applyFill="1" applyBorder="1" applyProtection="1">
      <protection hidden="1"/>
    </xf>
    <xf numFmtId="0" fontId="10" fillId="4" borderId="1" xfId="0" applyFont="1" applyFill="1" applyBorder="1" applyAlignment="1" applyProtection="1">
      <alignment horizontal="right" vertical="center"/>
      <protection locked="0"/>
    </xf>
    <xf numFmtId="2" fontId="10" fillId="2" borderId="18" xfId="0" applyNumberFormat="1" applyFont="1" applyFill="1" applyBorder="1" applyAlignment="1" applyProtection="1">
      <alignment horizontal="right" shrinkToFit="1"/>
      <protection hidden="1"/>
    </xf>
    <xf numFmtId="0" fontId="13" fillId="0" borderId="0" xfId="0" applyFont="1" applyBorder="1" applyAlignment="1"/>
    <xf numFmtId="0" fontId="1" fillId="0" borderId="0" xfId="0" applyFont="1" applyBorder="1" applyAlignment="1">
      <alignment horizontal="right"/>
    </xf>
    <xf numFmtId="0" fontId="19" fillId="0" borderId="0" xfId="0" applyFont="1" applyBorder="1" applyAlignment="1" applyProtection="1">
      <alignment shrinkToFit="1"/>
      <protection locked="0"/>
    </xf>
    <xf numFmtId="2" fontId="14" fillId="0" borderId="0" xfId="0" applyNumberFormat="1" applyFont="1" applyBorder="1" applyAlignment="1" applyProtection="1">
      <alignment horizontal="left" shrinkToFit="1"/>
      <protection hidden="1"/>
    </xf>
    <xf numFmtId="0" fontId="10" fillId="0" borderId="65" xfId="0" applyFont="1" applyBorder="1" applyAlignment="1" applyProtection="1">
      <alignment horizontal="right"/>
      <protection hidden="1"/>
    </xf>
    <xf numFmtId="0" fontId="0" fillId="0" borderId="13" xfId="0" applyBorder="1" applyAlignment="1"/>
    <xf numFmtId="0" fontId="10" fillId="4" borderId="13" xfId="0" applyNumberFormat="1" applyFont="1" applyFill="1" applyBorder="1" applyAlignment="1" applyProtection="1">
      <alignment shrinkToFit="1"/>
      <protection locked="0"/>
    </xf>
    <xf numFmtId="0" fontId="13" fillId="0" borderId="27" xfId="0" applyFont="1" applyBorder="1" applyAlignment="1" applyProtection="1">
      <alignment shrinkToFit="1"/>
      <protection hidden="1"/>
    </xf>
    <xf numFmtId="0" fontId="10" fillId="0" borderId="66" xfId="0" applyFont="1" applyBorder="1" applyAlignment="1" applyProtection="1">
      <alignment horizontal="right" shrinkToFit="1"/>
      <protection hidden="1"/>
    </xf>
    <xf numFmtId="0" fontId="14" fillId="0" borderId="67" xfId="0" applyFont="1" applyBorder="1" applyAlignment="1" applyProtection="1">
      <alignment shrinkToFit="1"/>
      <protection hidden="1"/>
    </xf>
    <xf numFmtId="0" fontId="13" fillId="0" borderId="29" xfId="0" applyFont="1" applyBorder="1" applyAlignment="1" applyProtection="1">
      <alignment shrinkToFit="1"/>
      <protection hidden="1"/>
    </xf>
    <xf numFmtId="2" fontId="10" fillId="4" borderId="1" xfId="0" applyNumberFormat="1" applyFont="1" applyFill="1" applyBorder="1" applyAlignment="1" applyProtection="1">
      <alignment horizontal="right"/>
      <protection locked="0"/>
    </xf>
    <xf numFmtId="2" fontId="10" fillId="4" borderId="11" xfId="0" applyNumberFormat="1" applyFont="1" applyFill="1" applyBorder="1" applyAlignment="1" applyProtection="1">
      <alignment horizontal="right"/>
      <protection locked="0"/>
    </xf>
    <xf numFmtId="0" fontId="10" fillId="0" borderId="19" xfId="0" applyFont="1" applyFill="1" applyBorder="1" applyAlignment="1" applyProtection="1">
      <alignment horizontal="left"/>
      <protection hidden="1"/>
    </xf>
    <xf numFmtId="0" fontId="6" fillId="0" borderId="0" xfId="0" applyFont="1" applyBorder="1" applyAlignment="1" applyProtection="1">
      <alignment horizontal="center" shrinkToFit="1"/>
      <protection hidden="1"/>
    </xf>
    <xf numFmtId="0" fontId="10" fillId="0" borderId="46" xfId="0" applyFont="1" applyFill="1" applyBorder="1" applyAlignment="1" applyProtection="1">
      <alignment horizontal="right" shrinkToFit="1"/>
      <protection hidden="1"/>
    </xf>
    <xf numFmtId="0" fontId="10" fillId="0" borderId="68" xfId="0" applyFont="1" applyFill="1" applyBorder="1" applyAlignment="1" applyProtection="1">
      <alignment shrinkToFit="1"/>
      <protection hidden="1"/>
    </xf>
    <xf numFmtId="2" fontId="10" fillId="6" borderId="1" xfId="0" applyNumberFormat="1" applyFont="1" applyFill="1" applyBorder="1" applyAlignment="1" applyProtection="1">
      <alignment horizontal="right" shrinkToFit="1"/>
      <protection hidden="1"/>
    </xf>
    <xf numFmtId="0" fontId="10" fillId="6" borderId="1" xfId="0" applyFont="1" applyFill="1" applyBorder="1" applyAlignment="1" applyProtection="1">
      <alignment horizontal="right" vertical="center" shrinkToFit="1"/>
      <protection hidden="1"/>
    </xf>
    <xf numFmtId="2" fontId="10" fillId="6" borderId="8" xfId="0" applyNumberFormat="1" applyFont="1" applyFill="1" applyBorder="1" applyAlignment="1" applyProtection="1">
      <alignment horizontal="right" shrinkToFit="1"/>
      <protection hidden="1"/>
    </xf>
    <xf numFmtId="0" fontId="10" fillId="6" borderId="1" xfId="0" applyFont="1" applyFill="1" applyBorder="1" applyAlignment="1" applyProtection="1">
      <alignment shrinkToFit="1"/>
      <protection hidden="1"/>
    </xf>
    <xf numFmtId="0" fontId="10" fillId="4" borderId="8" xfId="0" applyFont="1" applyFill="1" applyBorder="1" applyAlignment="1" applyProtection="1">
      <alignment horizontal="right"/>
      <protection locked="0"/>
    </xf>
    <xf numFmtId="0" fontId="10" fillId="4" borderId="1" xfId="0" applyFont="1" applyFill="1" applyBorder="1" applyAlignment="1" applyProtection="1">
      <alignment horizontal="right" shrinkToFit="1"/>
      <protection locked="0"/>
    </xf>
    <xf numFmtId="0" fontId="13" fillId="0" borderId="9" xfId="0" applyFont="1" applyBorder="1" applyAlignment="1" applyProtection="1">
      <alignment shrinkToFit="1"/>
      <protection hidden="1"/>
    </xf>
    <xf numFmtId="0" fontId="29" fillId="0" borderId="9" xfId="0" applyFont="1" applyBorder="1" applyAlignment="1" applyProtection="1">
      <alignment shrinkToFit="1"/>
      <protection hidden="1"/>
    </xf>
    <xf numFmtId="0" fontId="31" fillId="0" borderId="9" xfId="0" applyFont="1" applyBorder="1" applyAlignment="1" applyProtection="1">
      <alignment vertical="center" shrinkToFit="1"/>
      <protection hidden="1"/>
    </xf>
    <xf numFmtId="2" fontId="10" fillId="2" borderId="17" xfId="0" applyNumberFormat="1" applyFont="1" applyFill="1" applyBorder="1" applyAlignment="1" applyProtection="1">
      <alignment horizontal="right" vertical="center" shrinkToFit="1"/>
      <protection hidden="1"/>
    </xf>
    <xf numFmtId="2" fontId="14" fillId="0" borderId="27" xfId="0" applyNumberFormat="1" applyFont="1" applyFill="1" applyBorder="1" applyAlignment="1" applyProtection="1">
      <alignment shrinkToFit="1"/>
      <protection hidden="1"/>
    </xf>
    <xf numFmtId="0" fontId="7" fillId="0" borderId="69" xfId="0" applyFont="1" applyBorder="1" applyAlignment="1" applyProtection="1">
      <alignment horizontal="left" shrinkToFit="1"/>
      <protection hidden="1"/>
    </xf>
    <xf numFmtId="0" fontId="14" fillId="5" borderId="70" xfId="0" applyFont="1" applyFill="1" applyBorder="1" applyProtection="1">
      <protection hidden="1"/>
    </xf>
    <xf numFmtId="0" fontId="31" fillId="0" borderId="71" xfId="0" applyFont="1" applyBorder="1" applyAlignment="1" applyProtection="1">
      <alignment shrinkToFit="1"/>
      <protection hidden="1"/>
    </xf>
    <xf numFmtId="0" fontId="14" fillId="0" borderId="72" xfId="0" applyFont="1" applyBorder="1" applyAlignment="1" applyProtection="1">
      <alignment shrinkToFit="1"/>
      <protection hidden="1"/>
    </xf>
    <xf numFmtId="0" fontId="10" fillId="3" borderId="73" xfId="0" applyNumberFormat="1" applyFont="1" applyFill="1" applyBorder="1" applyAlignment="1" applyProtection="1">
      <alignment shrinkToFit="1"/>
      <protection locked="0"/>
    </xf>
    <xf numFmtId="0" fontId="19" fillId="0" borderId="0" xfId="0" applyFont="1" applyBorder="1" applyAlignment="1" applyProtection="1">
      <alignment horizontal="left" shrinkToFit="1"/>
      <protection hidden="1"/>
    </xf>
    <xf numFmtId="0" fontId="19" fillId="0" borderId="13" xfId="0" applyFont="1" applyBorder="1" applyAlignment="1" applyProtection="1">
      <alignment shrinkToFit="1"/>
      <protection locked="0"/>
    </xf>
    <xf numFmtId="0" fontId="10" fillId="5" borderId="74" xfId="0" applyNumberFormat="1" applyFont="1" applyFill="1" applyBorder="1" applyAlignment="1" applyProtection="1">
      <alignment shrinkToFit="1"/>
      <protection locked="0"/>
    </xf>
    <xf numFmtId="0" fontId="10" fillId="5" borderId="75" xfId="0" applyNumberFormat="1" applyFont="1" applyFill="1" applyBorder="1" applyAlignment="1" applyProtection="1">
      <alignment shrinkToFit="1"/>
      <protection locked="0"/>
    </xf>
    <xf numFmtId="0" fontId="10" fillId="5" borderId="76" xfId="0" applyFont="1" applyFill="1" applyBorder="1" applyAlignment="1" applyProtection="1">
      <alignment horizontal="right" shrinkToFit="1"/>
      <protection hidden="1"/>
    </xf>
    <xf numFmtId="0" fontId="10" fillId="5" borderId="77" xfId="0" applyFont="1" applyFill="1" applyBorder="1" applyAlignment="1" applyProtection="1">
      <alignment horizontal="right" shrinkToFit="1"/>
      <protection hidden="1"/>
    </xf>
    <xf numFmtId="0" fontId="19" fillId="5" borderId="78" xfId="0" applyNumberFormat="1" applyFont="1" applyFill="1" applyBorder="1" applyAlignment="1" applyProtection="1">
      <alignment shrinkToFit="1"/>
      <protection locked="0"/>
    </xf>
    <xf numFmtId="0" fontId="19" fillId="5" borderId="75" xfId="0" applyNumberFormat="1" applyFont="1" applyFill="1" applyBorder="1" applyAlignment="1" applyProtection="1">
      <alignment shrinkToFit="1"/>
      <protection locked="0"/>
    </xf>
    <xf numFmtId="0" fontId="10" fillId="5" borderId="78" xfId="0" applyNumberFormat="1" applyFont="1" applyFill="1" applyBorder="1" applyAlignment="1" applyProtection="1">
      <alignment shrinkToFit="1"/>
      <protection locked="0"/>
    </xf>
    <xf numFmtId="0" fontId="10" fillId="3" borderId="79" xfId="0" applyNumberFormat="1" applyFont="1" applyFill="1" applyBorder="1" applyAlignment="1" applyProtection="1">
      <alignment shrinkToFit="1"/>
      <protection locked="0"/>
    </xf>
    <xf numFmtId="0" fontId="10" fillId="3" borderId="80" xfId="0" applyNumberFormat="1" applyFont="1" applyFill="1" applyBorder="1" applyAlignment="1" applyProtection="1">
      <alignment shrinkToFit="1"/>
      <protection locked="0"/>
    </xf>
    <xf numFmtId="0" fontId="19" fillId="0" borderId="69" xfId="0" applyNumberFormat="1" applyFont="1" applyFill="1" applyBorder="1" applyAlignment="1" applyProtection="1">
      <alignment shrinkToFit="1"/>
      <protection locked="0"/>
    </xf>
    <xf numFmtId="0" fontId="19" fillId="0" borderId="80" xfId="0" applyNumberFormat="1" applyFont="1" applyFill="1" applyBorder="1" applyAlignment="1" applyProtection="1">
      <alignment shrinkToFit="1"/>
      <protection locked="0"/>
    </xf>
    <xf numFmtId="0" fontId="13" fillId="5" borderId="81" xfId="0" applyFont="1" applyFill="1" applyBorder="1" applyAlignment="1" applyProtection="1">
      <alignment shrinkToFit="1"/>
      <protection hidden="1"/>
    </xf>
    <xf numFmtId="0" fontId="13" fillId="5" borderId="75" xfId="0" applyFont="1" applyFill="1" applyBorder="1" applyAlignment="1" applyProtection="1">
      <alignment shrinkToFit="1"/>
      <protection hidden="1"/>
    </xf>
    <xf numFmtId="0" fontId="10" fillId="4" borderId="73" xfId="0" applyFont="1" applyFill="1" applyBorder="1" applyAlignment="1" applyProtection="1">
      <protection locked="0"/>
    </xf>
    <xf numFmtId="0" fontId="0" fillId="0" borderId="72" xfId="0" applyBorder="1" applyProtection="1">
      <protection hidden="1"/>
    </xf>
    <xf numFmtId="0" fontId="16" fillId="4" borderId="82" xfId="0" applyFont="1" applyFill="1" applyBorder="1" applyAlignment="1" applyProtection="1">
      <alignment horizontal="center"/>
      <protection locked="0"/>
    </xf>
    <xf numFmtId="2" fontId="10" fillId="2" borderId="83" xfId="0" applyNumberFormat="1" applyFont="1" applyFill="1" applyBorder="1" applyAlignment="1" applyProtection="1">
      <alignment shrinkToFit="1"/>
      <protection locked="0"/>
    </xf>
    <xf numFmtId="0" fontId="3" fillId="0" borderId="0" xfId="0" applyFont="1" applyBorder="1" applyAlignment="1" applyProtection="1">
      <alignment horizontal="left" shrinkToFit="1"/>
      <protection locked="0"/>
    </xf>
    <xf numFmtId="0" fontId="10" fillId="3" borderId="0" xfId="0" applyFont="1" applyFill="1" applyBorder="1" applyAlignment="1" applyProtection="1">
      <alignment horizontal="right" shrinkToFit="1"/>
      <protection locked="0"/>
    </xf>
    <xf numFmtId="2" fontId="10" fillId="2" borderId="0" xfId="0" applyNumberFormat="1" applyFont="1" applyFill="1" applyBorder="1" applyAlignment="1" applyProtection="1">
      <alignment shrinkToFit="1"/>
      <protection hidden="1"/>
    </xf>
    <xf numFmtId="2" fontId="10" fillId="2" borderId="13" xfId="0" applyNumberFormat="1" applyFont="1" applyFill="1" applyBorder="1" applyAlignment="1" applyProtection="1">
      <alignment shrinkToFit="1"/>
      <protection hidden="1"/>
    </xf>
    <xf numFmtId="0" fontId="0" fillId="7" borderId="0" xfId="0" applyFill="1"/>
    <xf numFmtId="0" fontId="23" fillId="7" borderId="0" xfId="0" applyFont="1" applyFill="1"/>
    <xf numFmtId="0" fontId="0" fillId="0" borderId="0" xfId="0" applyProtection="1"/>
    <xf numFmtId="2" fontId="10" fillId="2" borderId="58" xfId="0" applyNumberFormat="1" applyFont="1" applyFill="1" applyBorder="1" applyAlignment="1" applyProtection="1">
      <protection hidden="1"/>
    </xf>
    <xf numFmtId="2" fontId="10" fillId="3" borderId="1" xfId="0" applyNumberFormat="1" applyFont="1" applyFill="1" applyBorder="1" applyProtection="1">
      <protection locked="0"/>
    </xf>
    <xf numFmtId="0" fontId="10" fillId="4" borderId="30" xfId="0" applyFont="1" applyFill="1" applyBorder="1" applyAlignment="1" applyProtection="1">
      <alignment horizontal="right" shrinkToFit="1"/>
      <protection locked="0"/>
    </xf>
    <xf numFmtId="0" fontId="10" fillId="4" borderId="1" xfId="0" applyFont="1" applyFill="1" applyBorder="1" applyAlignment="1" applyProtection="1">
      <alignment horizontal="center"/>
      <protection locked="0"/>
    </xf>
    <xf numFmtId="2" fontId="10" fillId="4" borderId="11" xfId="0" applyNumberFormat="1" applyFont="1" applyFill="1" applyBorder="1" applyProtection="1">
      <protection locked="0"/>
    </xf>
    <xf numFmtId="2" fontId="10" fillId="0" borderId="84" xfId="0" applyNumberFormat="1" applyFont="1" applyFill="1" applyBorder="1" applyAlignment="1" applyProtection="1">
      <alignment horizontal="right" shrinkToFit="1"/>
      <protection hidden="1"/>
    </xf>
    <xf numFmtId="0" fontId="13" fillId="0" borderId="85" xfId="0" applyFont="1" applyBorder="1" applyAlignment="1" applyProtection="1">
      <alignment shrinkToFit="1"/>
      <protection hidden="1"/>
    </xf>
    <xf numFmtId="0" fontId="8" fillId="0" borderId="0" xfId="0" applyFont="1" applyFill="1" applyAlignment="1">
      <alignment horizontal="center" wrapText="1" shrinkToFit="1"/>
    </xf>
    <xf numFmtId="0" fontId="9" fillId="0" borderId="0" xfId="0" applyFont="1" applyFill="1" applyAlignment="1">
      <alignment horizontal="center" wrapText="1" shrinkToFit="1"/>
    </xf>
    <xf numFmtId="0" fontId="10" fillId="0" borderId="0" xfId="0" applyFont="1" applyFill="1" applyAlignment="1">
      <alignment horizontal="center" wrapText="1" shrinkToFit="1"/>
    </xf>
    <xf numFmtId="0" fontId="10" fillId="0" borderId="0" xfId="0" applyFont="1" applyFill="1" applyAlignment="1" applyProtection="1">
      <alignment horizontal="left" vertical="justify" wrapText="1" shrinkToFit="1"/>
      <protection hidden="1"/>
    </xf>
    <xf numFmtId="0" fontId="11" fillId="0" borderId="0" xfId="0" applyFont="1" applyFill="1" applyAlignment="1">
      <alignment horizontal="center" wrapText="1" shrinkToFit="1"/>
    </xf>
    <xf numFmtId="0" fontId="10" fillId="4" borderId="25" xfId="0" applyFont="1" applyFill="1" applyBorder="1" applyAlignment="1">
      <alignment horizontal="center" wrapText="1"/>
    </xf>
    <xf numFmtId="0" fontId="10" fillId="4" borderId="86" xfId="0" applyFont="1" applyFill="1" applyBorder="1" applyAlignment="1">
      <alignment horizontal="center" wrapText="1"/>
    </xf>
    <xf numFmtId="0" fontId="10" fillId="4" borderId="45" xfId="0" applyFont="1" applyFill="1" applyBorder="1" applyAlignment="1">
      <alignment horizontal="center" wrapText="1"/>
    </xf>
    <xf numFmtId="0" fontId="10" fillId="2" borderId="5" xfId="0" applyFont="1" applyFill="1" applyBorder="1" applyAlignment="1">
      <alignment horizontal="center" wrapText="1"/>
    </xf>
    <xf numFmtId="0" fontId="10" fillId="2" borderId="26" xfId="0" applyFont="1" applyFill="1" applyBorder="1" applyAlignment="1">
      <alignment horizontal="center" wrapText="1"/>
    </xf>
    <xf numFmtId="0" fontId="10" fillId="2" borderId="6" xfId="0" applyFont="1" applyFill="1" applyBorder="1" applyAlignment="1">
      <alignment horizontal="center" wrapText="1"/>
    </xf>
    <xf numFmtId="0" fontId="13" fillId="0" borderId="91" xfId="0" applyFont="1" applyBorder="1" applyAlignment="1" applyProtection="1">
      <alignment horizontal="right"/>
      <protection hidden="1"/>
    </xf>
    <xf numFmtId="0" fontId="13" fillId="0" borderId="19" xfId="0" applyFont="1" applyBorder="1" applyAlignment="1"/>
    <xf numFmtId="2" fontId="14" fillId="0" borderId="15" xfId="0" applyNumberFormat="1" applyFont="1" applyBorder="1" applyAlignment="1" applyProtection="1">
      <alignment horizontal="right" shrinkToFit="1"/>
      <protection hidden="1"/>
    </xf>
    <xf numFmtId="0" fontId="0" fillId="0" borderId="44" xfId="0" applyBorder="1" applyAlignment="1">
      <alignment horizontal="right" shrinkToFit="1"/>
    </xf>
    <xf numFmtId="2" fontId="14" fillId="0" borderId="0" xfId="0" applyNumberFormat="1" applyFont="1" applyBorder="1" applyAlignment="1" applyProtection="1">
      <alignment horizontal="right" shrinkToFit="1"/>
      <protection hidden="1"/>
    </xf>
    <xf numFmtId="2" fontId="14" fillId="0" borderId="46" xfId="0" applyNumberFormat="1" applyFont="1" applyBorder="1" applyAlignment="1" applyProtection="1">
      <alignment horizontal="right" shrinkToFit="1"/>
      <protection hidden="1"/>
    </xf>
    <xf numFmtId="0" fontId="10" fillId="0" borderId="90" xfId="0" applyFont="1" applyBorder="1" applyAlignment="1" applyProtection="1">
      <alignment horizontal="left" shrinkToFit="1"/>
      <protection hidden="1"/>
    </xf>
    <xf numFmtId="0" fontId="10" fillId="0" borderId="19" xfId="0" applyFont="1" applyBorder="1" applyAlignment="1" applyProtection="1">
      <alignment horizontal="left" shrinkToFit="1"/>
      <protection hidden="1"/>
    </xf>
    <xf numFmtId="2" fontId="10" fillId="0" borderId="15" xfId="0" applyNumberFormat="1" applyFont="1" applyBorder="1" applyAlignment="1" applyProtection="1">
      <alignment horizontal="left" shrinkToFit="1"/>
      <protection hidden="1"/>
    </xf>
    <xf numFmtId="2" fontId="10" fillId="0" borderId="44" xfId="0" applyNumberFormat="1" applyFont="1" applyBorder="1" applyAlignment="1" applyProtection="1">
      <alignment horizontal="left" shrinkToFit="1"/>
      <protection hidden="1"/>
    </xf>
    <xf numFmtId="0" fontId="0" fillId="0" borderId="13" xfId="0" applyBorder="1" applyAlignment="1" applyProtection="1">
      <alignment horizontal="right" shrinkToFit="1"/>
      <protection hidden="1"/>
    </xf>
    <xf numFmtId="0" fontId="0" fillId="0" borderId="53" xfId="0" applyBorder="1" applyAlignment="1" applyProtection="1">
      <alignment horizontal="right" shrinkToFit="1"/>
      <protection hidden="1"/>
    </xf>
    <xf numFmtId="0" fontId="0" fillId="0" borderId="96" xfId="0" applyBorder="1" applyAlignment="1" applyProtection="1">
      <alignment horizontal="right" shrinkToFit="1"/>
      <protection hidden="1"/>
    </xf>
    <xf numFmtId="0" fontId="0" fillId="0" borderId="97" xfId="0" applyBorder="1" applyAlignment="1" applyProtection="1">
      <alignment horizontal="right" shrinkToFit="1"/>
      <protection hidden="1"/>
    </xf>
    <xf numFmtId="0" fontId="14" fillId="0" borderId="46" xfId="0" applyFont="1" applyBorder="1" applyAlignment="1" applyProtection="1">
      <alignment horizontal="right" shrinkToFit="1"/>
      <protection hidden="1"/>
    </xf>
    <xf numFmtId="0" fontId="14" fillId="0" borderId="0" xfId="0" applyFont="1" applyBorder="1" applyAlignment="1" applyProtection="1">
      <alignment horizontal="right" shrinkToFit="1"/>
      <protection hidden="1"/>
    </xf>
    <xf numFmtId="0" fontId="14" fillId="0" borderId="87" xfId="0" applyFont="1" applyBorder="1" applyAlignment="1" applyProtection="1">
      <alignment horizontal="right" shrinkToFit="1"/>
      <protection hidden="1"/>
    </xf>
    <xf numFmtId="2" fontId="13" fillId="0" borderId="46" xfId="0" applyNumberFormat="1" applyFont="1" applyBorder="1" applyAlignment="1" applyProtection="1">
      <alignment horizontal="right" shrinkToFit="1"/>
      <protection hidden="1"/>
    </xf>
    <xf numFmtId="2" fontId="13" fillId="0" borderId="44" xfId="0" applyNumberFormat="1" applyFont="1" applyBorder="1" applyAlignment="1" applyProtection="1">
      <alignment horizontal="right" shrinkToFit="1"/>
      <protection hidden="1"/>
    </xf>
    <xf numFmtId="0" fontId="14" fillId="0" borderId="46" xfId="0" applyFont="1" applyFill="1" applyBorder="1" applyAlignment="1" applyProtection="1">
      <alignment horizontal="right" shrinkToFit="1"/>
      <protection hidden="1"/>
    </xf>
    <xf numFmtId="0" fontId="0" fillId="0" borderId="44" xfId="0" applyBorder="1" applyProtection="1">
      <protection hidden="1"/>
    </xf>
    <xf numFmtId="0" fontId="10" fillId="0" borderId="15" xfId="0" applyFont="1" applyBorder="1" applyAlignment="1" applyProtection="1">
      <alignment horizontal="right"/>
      <protection hidden="1"/>
    </xf>
    <xf numFmtId="0" fontId="10" fillId="0" borderId="44" xfId="0" applyFont="1" applyBorder="1" applyAlignment="1" applyProtection="1">
      <alignment horizontal="right"/>
      <protection hidden="1"/>
    </xf>
    <xf numFmtId="0" fontId="0" fillId="0" borderId="0" xfId="0" applyFill="1" applyBorder="1" applyAlignment="1" applyProtection="1">
      <alignment horizontal="right"/>
      <protection hidden="1"/>
    </xf>
    <xf numFmtId="0" fontId="10" fillId="0" borderId="21" xfId="0" applyFont="1" applyBorder="1" applyAlignment="1" applyProtection="1">
      <alignment horizontal="left" vertical="center"/>
      <protection hidden="1"/>
    </xf>
    <xf numFmtId="0" fontId="13" fillId="0" borderId="21" xfId="0" applyFont="1" applyBorder="1" applyAlignment="1">
      <alignment horizontal="left" vertical="center"/>
    </xf>
    <xf numFmtId="0" fontId="13" fillId="0" borderId="46" xfId="0" applyFont="1" applyBorder="1" applyAlignment="1" applyProtection="1">
      <alignment horizontal="right"/>
      <protection hidden="1"/>
    </xf>
    <xf numFmtId="0" fontId="13" fillId="0" borderId="0" xfId="0" applyFont="1" applyAlignment="1">
      <alignment horizontal="right"/>
    </xf>
    <xf numFmtId="0" fontId="10" fillId="0" borderId="52" xfId="0" applyFont="1" applyBorder="1" applyAlignment="1" applyProtection="1">
      <alignment horizontal="left" shrinkToFit="1"/>
      <protection hidden="1"/>
    </xf>
    <xf numFmtId="0" fontId="10" fillId="0" borderId="21" xfId="0" applyFont="1" applyBorder="1" applyAlignment="1" applyProtection="1">
      <alignment horizontal="left" shrinkToFit="1"/>
      <protection hidden="1"/>
    </xf>
    <xf numFmtId="0" fontId="0" fillId="0" borderId="13" xfId="0" applyFill="1" applyBorder="1" applyAlignment="1" applyProtection="1">
      <alignment horizontal="right"/>
      <protection hidden="1"/>
    </xf>
    <xf numFmtId="0" fontId="10" fillId="0" borderId="0" xfId="0" applyFont="1" applyBorder="1" applyAlignment="1" applyProtection="1">
      <alignment horizontal="left" shrinkToFit="1"/>
      <protection hidden="1"/>
    </xf>
    <xf numFmtId="0" fontId="10" fillId="0" borderId="12" xfId="0" applyFont="1" applyBorder="1" applyAlignment="1" applyProtection="1">
      <alignment horizontal="left" shrinkToFit="1"/>
      <protection hidden="1"/>
    </xf>
    <xf numFmtId="0" fontId="13" fillId="0" borderId="99" xfId="0" applyFont="1" applyBorder="1" applyAlignment="1" applyProtection="1">
      <alignment horizontal="right" shrinkToFit="1"/>
      <protection hidden="1"/>
    </xf>
    <xf numFmtId="0" fontId="13" fillId="0" borderId="15" xfId="0" applyFont="1" applyBorder="1" applyAlignment="1" applyProtection="1">
      <alignment horizontal="right" shrinkToFit="1"/>
      <protection hidden="1"/>
    </xf>
    <xf numFmtId="0" fontId="13" fillId="0" borderId="10" xfId="0" applyFont="1" applyBorder="1" applyAlignment="1" applyProtection="1">
      <alignment horizontal="right" shrinkToFit="1"/>
      <protection hidden="1"/>
    </xf>
    <xf numFmtId="0" fontId="18" fillId="0" borderId="87" xfId="0" applyFont="1" applyBorder="1" applyAlignment="1" applyProtection="1">
      <alignment horizontal="center" shrinkToFit="1"/>
      <protection hidden="1"/>
    </xf>
    <xf numFmtId="0" fontId="18" fillId="0" borderId="62" xfId="0" applyFont="1" applyBorder="1" applyAlignment="1" applyProtection="1">
      <alignment horizontal="center" shrinkToFit="1"/>
      <protection hidden="1"/>
    </xf>
    <xf numFmtId="0" fontId="10" fillId="0" borderId="100" xfId="0" applyFont="1" applyBorder="1" applyAlignment="1" applyProtection="1">
      <alignment horizontal="center" vertical="distributed" shrinkToFit="1"/>
      <protection hidden="1"/>
    </xf>
    <xf numFmtId="0" fontId="10" fillId="0" borderId="87" xfId="0" applyFont="1" applyBorder="1" applyAlignment="1" applyProtection="1">
      <alignment horizontal="center" vertical="distributed" shrinkToFit="1"/>
      <protection hidden="1"/>
    </xf>
    <xf numFmtId="0" fontId="10" fillId="0" borderId="101" xfId="0" applyFont="1" applyBorder="1" applyAlignment="1" applyProtection="1">
      <alignment horizontal="center" vertical="distributed" shrinkToFit="1"/>
      <protection hidden="1"/>
    </xf>
    <xf numFmtId="0" fontId="18" fillId="0" borderId="46" xfId="0" applyFont="1" applyBorder="1" applyAlignment="1" applyProtection="1">
      <alignment horizontal="center" shrinkToFit="1"/>
      <protection hidden="1"/>
    </xf>
    <xf numFmtId="0" fontId="18" fillId="0" borderId="0" xfId="0" applyFont="1" applyBorder="1" applyAlignment="1" applyProtection="1">
      <alignment horizontal="center" shrinkToFit="1"/>
      <protection hidden="1"/>
    </xf>
    <xf numFmtId="0" fontId="18" fillId="0" borderId="10" xfId="0" applyFont="1" applyBorder="1" applyAlignment="1" applyProtection="1">
      <alignment horizontal="center" shrinkToFit="1"/>
      <protection hidden="1"/>
    </xf>
    <xf numFmtId="0" fontId="18" fillId="0" borderId="15" xfId="0" applyFont="1" applyBorder="1" applyAlignment="1" applyProtection="1">
      <alignment horizontal="center" shrinkToFit="1"/>
      <protection hidden="1"/>
    </xf>
    <xf numFmtId="0" fontId="18" fillId="0" borderId="12" xfId="0" applyFont="1" applyBorder="1" applyAlignment="1" applyProtection="1">
      <alignment horizontal="center" shrinkToFit="1"/>
      <protection hidden="1"/>
    </xf>
    <xf numFmtId="0" fontId="3" fillId="0" borderId="0" xfId="0" applyFont="1" applyBorder="1" applyAlignment="1" applyProtection="1">
      <alignment horizontal="left" shrinkToFit="1"/>
      <protection hidden="1"/>
    </xf>
    <xf numFmtId="0" fontId="6" fillId="0" borderId="0" xfId="0" applyFont="1" applyBorder="1" applyAlignment="1" applyProtection="1">
      <alignment horizontal="left" vertical="center" shrinkToFit="1"/>
      <protection locked="0"/>
    </xf>
    <xf numFmtId="14" fontId="6" fillId="0" borderId="0" xfId="0" applyNumberFormat="1" applyFont="1" applyBorder="1" applyAlignment="1" applyProtection="1">
      <alignment horizontal="left" vertical="center" shrinkToFit="1"/>
      <protection locked="0"/>
    </xf>
    <xf numFmtId="0" fontId="0" fillId="0" borderId="46" xfId="0" applyBorder="1" applyAlignment="1" applyProtection="1">
      <alignment horizontal="right" shrinkToFit="1"/>
      <protection hidden="1"/>
    </xf>
    <xf numFmtId="0" fontId="0" fillId="0" borderId="44" xfId="0" applyBorder="1" applyAlignment="1" applyProtection="1">
      <alignment horizontal="right" shrinkToFit="1"/>
      <protection hidden="1"/>
    </xf>
    <xf numFmtId="0" fontId="13" fillId="0" borderId="46" xfId="0" applyFont="1" applyFill="1" applyBorder="1" applyAlignment="1" applyProtection="1">
      <alignment horizontal="right" shrinkToFit="1"/>
      <protection hidden="1"/>
    </xf>
    <xf numFmtId="0" fontId="13" fillId="0" borderId="44" xfId="0" applyFont="1" applyFill="1" applyBorder="1" applyAlignment="1" applyProtection="1">
      <alignment horizontal="right" shrinkToFit="1"/>
      <protection hidden="1"/>
    </xf>
    <xf numFmtId="0" fontId="13" fillId="0" borderId="93" xfId="0" applyFont="1" applyBorder="1" applyAlignment="1" applyProtection="1">
      <alignment horizontal="right" vertical="center" shrinkToFit="1"/>
      <protection hidden="1"/>
    </xf>
    <xf numFmtId="0" fontId="13" fillId="0" borderId="94" xfId="0" applyFont="1" applyBorder="1" applyAlignment="1" applyProtection="1">
      <alignment horizontal="right" vertical="center" shrinkToFit="1"/>
      <protection hidden="1"/>
    </xf>
    <xf numFmtId="0" fontId="0" fillId="0" borderId="98" xfId="0" applyBorder="1" applyAlignment="1" applyProtection="1">
      <alignment horizontal="right" shrinkToFit="1"/>
      <protection hidden="1"/>
    </xf>
    <xf numFmtId="0" fontId="0" fillId="0" borderId="41" xfId="0" applyBorder="1" applyAlignment="1" applyProtection="1">
      <alignment horizontal="right" shrinkToFit="1"/>
      <protection hidden="1"/>
    </xf>
    <xf numFmtId="0" fontId="7" fillId="0" borderId="87" xfId="0" applyFont="1" applyBorder="1" applyAlignment="1" applyProtection="1">
      <alignment horizontal="left" vertical="center" shrinkToFit="1"/>
      <protection hidden="1"/>
    </xf>
    <xf numFmtId="0" fontId="0" fillId="0" borderId="87" xfId="0" applyBorder="1" applyAlignment="1">
      <alignment vertical="center" shrinkToFit="1"/>
    </xf>
    <xf numFmtId="0" fontId="0" fillId="0" borderId="0" xfId="0" applyBorder="1" applyAlignment="1" applyProtection="1">
      <alignment horizontal="right" shrinkToFit="1"/>
      <protection hidden="1"/>
    </xf>
    <xf numFmtId="0" fontId="14" fillId="0" borderId="13" xfId="0" applyFont="1" applyBorder="1" applyAlignment="1" applyProtection="1">
      <alignment horizontal="right" shrinkToFit="1"/>
      <protection hidden="1"/>
    </xf>
    <xf numFmtId="0" fontId="14" fillId="0" borderId="53" xfId="0" applyFont="1" applyBorder="1" applyAlignment="1" applyProtection="1">
      <alignment horizontal="right" shrinkToFit="1"/>
      <protection hidden="1"/>
    </xf>
    <xf numFmtId="0" fontId="14" fillId="0" borderId="93" xfId="0" applyFont="1" applyBorder="1" applyAlignment="1" applyProtection="1">
      <alignment horizontal="right" shrinkToFit="1"/>
      <protection hidden="1"/>
    </xf>
    <xf numFmtId="0" fontId="14" fillId="0" borderId="41" xfId="0" applyFont="1" applyBorder="1" applyAlignment="1" applyProtection="1">
      <alignment horizontal="right" shrinkToFit="1"/>
      <protection hidden="1"/>
    </xf>
    <xf numFmtId="0" fontId="10" fillId="0" borderId="46" xfId="0" applyFont="1" applyBorder="1" applyAlignment="1" applyProtection="1">
      <alignment horizontal="right" shrinkToFit="1"/>
      <protection hidden="1"/>
    </xf>
    <xf numFmtId="0" fontId="10" fillId="0" borderId="0" xfId="0" applyFont="1" applyBorder="1" applyAlignment="1" applyProtection="1">
      <alignment horizontal="right" shrinkToFit="1"/>
      <protection hidden="1"/>
    </xf>
    <xf numFmtId="2" fontId="10" fillId="0" borderId="46" xfId="0" applyNumberFormat="1" applyFont="1" applyBorder="1" applyAlignment="1" applyProtection="1">
      <alignment horizontal="left" shrinkToFit="1"/>
      <protection hidden="1"/>
    </xf>
    <xf numFmtId="2" fontId="10" fillId="0" borderId="0" xfId="0" applyNumberFormat="1" applyFont="1" applyBorder="1" applyAlignment="1" applyProtection="1">
      <alignment horizontal="left" shrinkToFit="1"/>
      <protection hidden="1"/>
    </xf>
    <xf numFmtId="2" fontId="10" fillId="0" borderId="12" xfId="0" applyNumberFormat="1" applyFont="1" applyBorder="1" applyAlignment="1" applyProtection="1">
      <alignment horizontal="left" shrinkToFit="1"/>
      <protection hidden="1"/>
    </xf>
    <xf numFmtId="0" fontId="0" fillId="0" borderId="15" xfId="0" applyBorder="1" applyAlignment="1" applyProtection="1">
      <alignment horizontal="right" shrinkToFit="1"/>
      <protection hidden="1"/>
    </xf>
    <xf numFmtId="0" fontId="0" fillId="0" borderId="0" xfId="0" applyAlignment="1" applyProtection="1">
      <alignment horizontal="right" shrinkToFit="1"/>
      <protection hidden="1"/>
    </xf>
    <xf numFmtId="0" fontId="0" fillId="0" borderId="93" xfId="0" applyBorder="1" applyAlignment="1" applyProtection="1">
      <alignment horizontal="right" shrinkToFit="1"/>
      <protection hidden="1"/>
    </xf>
    <xf numFmtId="0" fontId="0" fillId="0" borderId="94" xfId="0" applyBorder="1" applyAlignment="1" applyProtection="1">
      <alignment horizontal="right" shrinkToFit="1"/>
      <protection hidden="1"/>
    </xf>
    <xf numFmtId="2" fontId="13" fillId="0" borderId="15" xfId="0" applyNumberFormat="1" applyFont="1" applyBorder="1" applyAlignment="1" applyProtection="1">
      <alignment horizontal="right" shrinkToFit="1"/>
      <protection hidden="1"/>
    </xf>
    <xf numFmtId="2" fontId="13" fillId="0" borderId="16" xfId="0" applyNumberFormat="1" applyFont="1" applyFill="1" applyBorder="1" applyAlignment="1" applyProtection="1">
      <alignment horizontal="right" vertical="center" shrinkToFit="1"/>
      <protection hidden="1"/>
    </xf>
    <xf numFmtId="0" fontId="0" fillId="0" borderId="53" xfId="0" applyBorder="1" applyProtection="1">
      <protection hidden="1"/>
    </xf>
    <xf numFmtId="0" fontId="10" fillId="4" borderId="30" xfId="0" applyFont="1" applyFill="1" applyBorder="1" applyAlignment="1" applyProtection="1">
      <alignment horizontal="left" shrinkToFit="1"/>
      <protection locked="0"/>
    </xf>
    <xf numFmtId="0" fontId="0" fillId="4" borderId="95" xfId="0" applyFill="1" applyBorder="1" applyAlignment="1" applyProtection="1">
      <alignment shrinkToFit="1"/>
      <protection locked="0"/>
    </xf>
    <xf numFmtId="0" fontId="10" fillId="0" borderId="46" xfId="0" applyFont="1" applyBorder="1" applyAlignment="1" applyProtection="1">
      <alignment horizontal="right" vertical="center" shrinkToFit="1"/>
      <protection hidden="1"/>
    </xf>
    <xf numFmtId="0" fontId="10" fillId="0" borderId="0" xfId="0" applyFont="1" applyBorder="1" applyAlignment="1" applyProtection="1">
      <alignment horizontal="right" vertical="center" shrinkToFit="1"/>
      <protection hidden="1"/>
    </xf>
    <xf numFmtId="0" fontId="10" fillId="0" borderId="91" xfId="0" applyFont="1" applyBorder="1" applyAlignment="1" applyProtection="1">
      <alignment horizontal="left" shrinkToFit="1"/>
      <protection hidden="1"/>
    </xf>
    <xf numFmtId="0" fontId="10" fillId="0" borderId="92" xfId="0" applyFont="1" applyBorder="1" applyAlignment="1" applyProtection="1">
      <alignment horizontal="left" shrinkToFit="1"/>
      <protection hidden="1"/>
    </xf>
    <xf numFmtId="2" fontId="14" fillId="0" borderId="65" xfId="0" applyNumberFormat="1" applyFont="1" applyBorder="1" applyAlignment="1" applyProtection="1">
      <alignment horizontal="right" shrinkToFit="1"/>
      <protection hidden="1"/>
    </xf>
    <xf numFmtId="2" fontId="14" fillId="0" borderId="13" xfId="0" applyNumberFormat="1" applyFont="1" applyBorder="1" applyAlignment="1" applyProtection="1">
      <alignment horizontal="right" shrinkToFit="1"/>
      <protection hidden="1"/>
    </xf>
    <xf numFmtId="0" fontId="27" fillId="0" borderId="19" xfId="0" applyFont="1" applyBorder="1" applyAlignment="1" applyProtection="1">
      <alignment horizontal="center" shrinkToFit="1"/>
      <protection hidden="1"/>
    </xf>
    <xf numFmtId="0" fontId="27" fillId="0" borderId="29" xfId="0" applyFont="1" applyBorder="1" applyAlignment="1" applyProtection="1">
      <alignment horizontal="center" shrinkToFit="1"/>
      <protection hidden="1"/>
    </xf>
    <xf numFmtId="0" fontId="10" fillId="0" borderId="89" xfId="0" applyFont="1" applyBorder="1" applyAlignment="1" applyProtection="1">
      <alignment horizontal="left"/>
      <protection hidden="1"/>
    </xf>
    <xf numFmtId="0" fontId="10" fillId="0" borderId="19" xfId="0" applyFont="1" applyBorder="1" applyAlignment="1" applyProtection="1">
      <alignment horizontal="left"/>
      <protection hidden="1"/>
    </xf>
    <xf numFmtId="0" fontId="0" fillId="0" borderId="0" xfId="0" applyBorder="1" applyAlignment="1" applyProtection="1">
      <alignment horizontal="right"/>
      <protection hidden="1"/>
    </xf>
    <xf numFmtId="0" fontId="0" fillId="0" borderId="0" xfId="0" applyBorder="1" applyAlignment="1">
      <alignment horizontal="right"/>
    </xf>
    <xf numFmtId="0" fontId="0" fillId="0" borderId="44" xfId="0" applyBorder="1" applyAlignment="1" applyProtection="1">
      <alignment horizontal="right"/>
      <protection hidden="1"/>
    </xf>
    <xf numFmtId="0" fontId="10" fillId="0" borderId="10" xfId="0" applyFont="1" applyBorder="1" applyAlignment="1" applyProtection="1">
      <alignment horizontal="left" shrinkToFit="1"/>
      <protection hidden="1"/>
    </xf>
    <xf numFmtId="0" fontId="10" fillId="0" borderId="46" xfId="0" applyFont="1" applyFill="1" applyBorder="1" applyAlignment="1" applyProtection="1">
      <alignment horizontal="right" shrinkToFit="1"/>
      <protection hidden="1"/>
    </xf>
    <xf numFmtId="0" fontId="10" fillId="0" borderId="0" xfId="0" applyFont="1" applyFill="1" applyBorder="1" applyAlignment="1" applyProtection="1">
      <alignment horizontal="right" shrinkToFit="1"/>
      <protection hidden="1"/>
    </xf>
    <xf numFmtId="0" fontId="13" fillId="0" borderId="0" xfId="0" applyFont="1" applyBorder="1" applyAlignment="1" applyProtection="1">
      <alignment horizontal="right" shrinkToFit="1"/>
      <protection hidden="1"/>
    </xf>
    <xf numFmtId="0" fontId="13" fillId="0" borderId="0" xfId="0" applyFont="1" applyFill="1" applyBorder="1" applyAlignment="1" applyProtection="1">
      <alignment horizontal="right" shrinkToFit="1"/>
      <protection hidden="1"/>
    </xf>
    <xf numFmtId="0" fontId="0" fillId="0" borderId="26" xfId="0" applyBorder="1" applyAlignment="1" applyProtection="1">
      <alignment horizontal="right" shrinkToFit="1"/>
      <protection hidden="1"/>
    </xf>
    <xf numFmtId="2" fontId="27" fillId="0" borderId="0" xfId="0" applyNumberFormat="1" applyFont="1" applyBorder="1" applyAlignment="1" applyProtection="1">
      <alignment horizontal="center" shrinkToFit="1"/>
      <protection hidden="1"/>
    </xf>
    <xf numFmtId="2" fontId="27" fillId="0" borderId="10" xfId="0" applyNumberFormat="1" applyFont="1" applyBorder="1" applyAlignment="1" applyProtection="1">
      <alignment horizontal="center" shrinkToFit="1"/>
      <protection hidden="1"/>
    </xf>
    <xf numFmtId="0" fontId="34" fillId="0" borderId="19" xfId="0" applyFont="1" applyBorder="1" applyAlignment="1">
      <alignment horizontal="left"/>
    </xf>
    <xf numFmtId="0" fontId="34" fillId="0" borderId="29" xfId="0" applyFont="1" applyBorder="1" applyAlignment="1">
      <alignment horizontal="left"/>
    </xf>
    <xf numFmtId="0" fontId="0" fillId="0" borderId="16" xfId="0" applyFill="1" applyBorder="1" applyAlignment="1" applyProtection="1">
      <alignment horizontal="right" shrinkToFit="1"/>
      <protection hidden="1"/>
    </xf>
    <xf numFmtId="0" fontId="0" fillId="0" borderId="13" xfId="0" applyFill="1" applyBorder="1" applyAlignment="1" applyProtection="1">
      <alignment horizontal="right" shrinkToFit="1"/>
      <protection hidden="1"/>
    </xf>
    <xf numFmtId="0" fontId="34" fillId="0" borderId="0" xfId="0" applyFont="1" applyFill="1" applyBorder="1" applyAlignment="1" applyProtection="1">
      <alignment horizontal="right"/>
      <protection hidden="1"/>
    </xf>
    <xf numFmtId="0" fontId="34" fillId="0" borderId="0" xfId="0" applyFont="1" applyBorder="1" applyAlignment="1"/>
    <xf numFmtId="0" fontId="34" fillId="0" borderId="10" xfId="0" applyFont="1" applyBorder="1" applyAlignment="1"/>
    <xf numFmtId="0" fontId="13" fillId="0" borderId="0" xfId="0" applyFont="1" applyBorder="1" applyAlignment="1" applyProtection="1">
      <alignment horizontal="right"/>
      <protection hidden="1"/>
    </xf>
    <xf numFmtId="0" fontId="0" fillId="0" borderId="44" xfId="0" applyBorder="1" applyAlignment="1">
      <alignment horizontal="right"/>
    </xf>
    <xf numFmtId="0" fontId="13" fillId="0" borderId="87" xfId="0" applyFont="1" applyFill="1" applyBorder="1" applyAlignment="1" applyProtection="1">
      <alignment horizontal="right"/>
      <protection hidden="1"/>
    </xf>
    <xf numFmtId="0" fontId="0" fillId="0" borderId="88" xfId="0" applyBorder="1" applyAlignment="1">
      <alignment horizontal="right"/>
    </xf>
    <xf numFmtId="0" fontId="0" fillId="0" borderId="15" xfId="0" applyFill="1" applyBorder="1" applyAlignment="1" applyProtection="1">
      <alignment horizontal="right" shrinkToFit="1"/>
      <protection hidden="1"/>
    </xf>
    <xf numFmtId="0" fontId="0" fillId="0" borderId="0" xfId="0" applyFill="1" applyBorder="1" applyAlignment="1" applyProtection="1">
      <alignment horizontal="right" shrinkToFit="1"/>
      <protection hidden="1"/>
    </xf>
    <xf numFmtId="0" fontId="13" fillId="0" borderId="0" xfId="0" applyFont="1" applyFill="1" applyBorder="1" applyAlignment="1" applyProtection="1">
      <alignment horizontal="right"/>
      <protection hidden="1"/>
    </xf>
    <xf numFmtId="0" fontId="14" fillId="0" borderId="16" xfId="0" applyFont="1" applyBorder="1" applyAlignment="1" applyProtection="1">
      <alignment horizontal="right" shrinkToFit="1"/>
      <protection hidden="1"/>
    </xf>
    <xf numFmtId="0" fontId="13" fillId="0" borderId="44" xfId="0" applyFont="1" applyBorder="1" applyAlignment="1" applyProtection="1">
      <alignment horizontal="right" shrinkToFit="1"/>
      <protection hidden="1"/>
    </xf>
    <xf numFmtId="0" fontId="0" fillId="0" borderId="87" xfId="0" applyBorder="1" applyAlignment="1" applyProtection="1">
      <alignment horizontal="right"/>
      <protection hidden="1"/>
    </xf>
    <xf numFmtId="0" fontId="0" fillId="0" borderId="88" xfId="0" applyBorder="1" applyAlignment="1" applyProtection="1">
      <alignment horizontal="right"/>
      <protection hidden="1"/>
    </xf>
    <xf numFmtId="0" fontId="7" fillId="0" borderId="87" xfId="0" applyFont="1" applyBorder="1" applyAlignment="1" applyProtection="1">
      <alignment horizontal="left"/>
      <protection hidden="1"/>
    </xf>
    <xf numFmtId="0" fontId="0" fillId="0" borderId="87" xfId="0" applyBorder="1" applyAlignment="1">
      <alignment horizontal="left"/>
    </xf>
    <xf numFmtId="0" fontId="13" fillId="0" borderId="0" xfId="0" applyFont="1" applyBorder="1" applyAlignment="1" applyProtection="1">
      <alignment horizontal="right" vertical="center" shrinkToFit="1"/>
      <protection hidden="1"/>
    </xf>
    <xf numFmtId="0" fontId="13" fillId="0" borderId="87" xfId="0" applyFont="1" applyBorder="1" applyAlignment="1" applyProtection="1">
      <alignment horizontal="right" shrinkToFit="1"/>
      <protection hidden="1"/>
    </xf>
    <xf numFmtId="0" fontId="13" fillId="0" borderId="88" xfId="0" applyFont="1" applyBorder="1" applyAlignment="1" applyProtection="1">
      <alignment horizontal="right" shrinkToFit="1"/>
      <protection hidden="1"/>
    </xf>
    <xf numFmtId="0" fontId="0" fillId="0" borderId="15" xfId="0" applyBorder="1" applyAlignment="1" applyProtection="1">
      <alignment horizontal="right"/>
      <protection hidden="1"/>
    </xf>
  </cellXfs>
  <cellStyles count="2">
    <cellStyle name="Collegamento ipertestuale" xfId="1" builtinId="8"/>
    <cellStyle name="Normale" xfId="0" builtinId="0"/>
  </cellStyles>
  <dxfs count="25">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activeX1.xml><?xml version="1.0" encoding="utf-8"?>
<ax:ocx xmlns:ax="http://schemas.microsoft.com/office/2006/activeX" xmlns:r="http://schemas.openxmlformats.org/officeDocument/2006/relationships" ax:classid="{8BD21D30-EC42-11CE-9E0D-00AA006002F3}" ax:persistence="persistStreamInit" r:id="rId1"/>
</file>

<file path=xl/activeX/activeX2.xml><?xml version="1.0" encoding="utf-8"?>
<ax:ocx xmlns:ax="http://schemas.microsoft.com/office/2006/activeX" xmlns:r="http://schemas.openxmlformats.org/officeDocument/2006/relationships" ax:classid="{DFD181E0-5E2F-11CE-A449-00AA004A803D}" ax:persistence="persistStreamInit" r:id="rId1"/>
</file>

<file path=xl/activeX/activeX3.xml><?xml version="1.0" encoding="utf-8"?>
<ax:ocx xmlns:ax="http://schemas.microsoft.com/office/2006/activeX" xmlns:r="http://schemas.openxmlformats.org/officeDocument/2006/relationships" ax:classid="{8BD21D50-EC42-11CE-9E0D-00AA006002F3}" ax:persistence="persistStreamInit" r:id="rId1"/>
</file>

<file path=xl/activeX/activeX4.xml><?xml version="1.0" encoding="utf-8"?>
<ax:ocx xmlns:ax="http://schemas.microsoft.com/office/2006/activeX" xmlns:r="http://schemas.openxmlformats.org/officeDocument/2006/relationships" ax:classid="{8BD21D50-EC42-11CE-9E0D-00AA006002F3}" ax:persistence="persistStreamInit" r:id="rId1"/>
</file>

<file path=xl/activeX/activeX5.xml><?xml version="1.0" encoding="utf-8"?>
<ax:ocx xmlns:ax="http://schemas.microsoft.com/office/2006/activeX" xmlns:r="http://schemas.openxmlformats.org/officeDocument/2006/relationships" ax:classid="{8BD21D50-EC42-11CE-9E0D-00AA006002F3}" ax:persistence="persistStreamInit" r:id="rId1"/>
</file>

<file path=xl/activeX/activeX6.xml><?xml version="1.0" encoding="utf-8"?>
<ax:ocx xmlns:ax="http://schemas.microsoft.com/office/2006/activeX" xmlns:r="http://schemas.openxmlformats.org/officeDocument/2006/relationships" ax:classid="{8BD21D10-EC42-11CE-9E0D-00AA006002F3}" ax:persistence="persistStreamInit" r:id="rId1"/>
</file>

<file path=xl/activeX/activeX7.xml><?xml version="1.0" encoding="utf-8"?>
<ax:ocx xmlns:ax="http://schemas.microsoft.com/office/2006/activeX" xmlns:r="http://schemas.openxmlformats.org/officeDocument/2006/relationships" ax:classid="{8BD21D50-EC42-11CE-9E0D-00AA006002F3}" ax:persistence="persistStreamInit" r:id="rId1"/>
</file>

<file path=xl/activeX/activeX8.xml><?xml version="1.0" encoding="utf-8"?>
<ax:ocx xmlns:ax="http://schemas.microsoft.com/office/2006/activeX" xmlns:r="http://schemas.openxmlformats.org/officeDocument/2006/relationships" ax:classid="{8BD21D50-EC42-11CE-9E0D-00AA006002F3}" ax:persistence="persistStreamInit" r:id="rId1"/>
</file>

<file path=xl/activeX/activeX9.xml><?xml version="1.0" encoding="utf-8"?>
<ax:ocx xmlns:ax="http://schemas.microsoft.com/office/2006/activeX" xmlns:r="http://schemas.openxmlformats.org/officeDocument/2006/relationships" ax:classid="{8BD21D10-EC42-11CE-9E0D-00AA006002F3}" ax:persistence="persistStreamInit" r:id="rId1"/>
</file>

<file path=xl/activeX/activeX10.xml><?xml version="1.0" encoding="utf-8"?>
<ax:ocx xmlns:ax="http://schemas.microsoft.com/office/2006/activeX" xmlns:r="http://schemas.openxmlformats.org/officeDocument/2006/relationships" ax:classid="{DFD181E0-5E2F-11CE-A449-00AA004A803D}" ax:persistence="persistStreamInit" r:id="rId1"/>
</file>

<file path=xl/activeX/activeX11.xml><?xml version="1.0" encoding="utf-8"?>
<ax:ocx xmlns:ax="http://schemas.microsoft.com/office/2006/activeX" xmlns:r="http://schemas.openxmlformats.org/officeDocument/2006/relationships" ax:classid="{D7053240-CE69-11CD-A777-00DD01143C57}" ax:persistence="persistStreamInit" r:id="rId1"/>
</file>

<file path=xl/activeX/activeX12.xml><?xml version="1.0" encoding="utf-8"?>
<ax:ocx xmlns:ax="http://schemas.microsoft.com/office/2006/activeX" xmlns:r="http://schemas.openxmlformats.org/officeDocument/2006/relationships" ax:classid="{8BD21D10-EC42-11CE-9E0D-00AA006002F3}" ax:persistence="persistStreamInit" r:id="rId1"/>
</file>

<file path=xl/activeX/activeX13.xml><?xml version="1.0" encoding="utf-8"?>
<ax:ocx xmlns:ax="http://schemas.microsoft.com/office/2006/activeX" xmlns:r="http://schemas.openxmlformats.org/officeDocument/2006/relationships" ax:classid="{8BD21D10-EC42-11CE-9E0D-00AA006002F3}" ax:persistence="persistStreamInit" r:id="rId1"/>
</file>

<file path=xl/activeX/activeX14.xml><?xml version="1.0" encoding="utf-8"?>
<ax:ocx xmlns:ax="http://schemas.microsoft.com/office/2006/activeX" xmlns:r="http://schemas.openxmlformats.org/officeDocument/2006/relationships" ax:classid="{DFD181E0-5E2F-11CE-A449-00AA004A803D}" ax:persistence="persistStreamInit" r:id="rId1"/>
</file>

<file path=xl/activeX/activeX15.xml><?xml version="1.0" encoding="utf-8"?>
<ax:ocx xmlns:ax="http://schemas.microsoft.com/office/2006/activeX" xmlns:r="http://schemas.openxmlformats.org/officeDocument/2006/relationships" ax:classid="{DFD181E0-5E2F-11CE-A449-00AA004A803D}" ax:persistence="persistStreamInit" r:id="rId1"/>
</file>

<file path=xl/activeX/activeX16.xml><?xml version="1.0" encoding="utf-8"?>
<ax:ocx xmlns:ax="http://schemas.microsoft.com/office/2006/activeX" xmlns:r="http://schemas.openxmlformats.org/officeDocument/2006/relationships" ax:classid="{DFD181E0-5E2F-11CE-A449-00AA004A803D}" ax:persistence="persistStreamInit" r:id="rId1"/>
</file>

<file path=xl/activeX/activeX17.xml><?xml version="1.0" encoding="utf-8"?>
<ax:ocx xmlns:ax="http://schemas.microsoft.com/office/2006/activeX" xmlns:r="http://schemas.openxmlformats.org/officeDocument/2006/relationships" ax:classid="{DFD181E0-5E2F-11CE-A449-00AA004A803D}" ax:persistence="persistStreamInit" r:id="rId1"/>
</file>

<file path=xl/activeX/activeX18.xml><?xml version="1.0" encoding="utf-8"?>
<ax:ocx xmlns:ax="http://schemas.microsoft.com/office/2006/activeX" xmlns:r="http://schemas.openxmlformats.org/officeDocument/2006/relationships" ax:classid="{DFD181E0-5E2F-11CE-A449-00AA004A803D}" ax:persistence="persistStreamInit" r:id="rId1"/>
</file>

<file path=xl/activeX/activeX19.xml><?xml version="1.0" encoding="utf-8"?>
<ax:ocx xmlns:ax="http://schemas.microsoft.com/office/2006/activeX" xmlns:r="http://schemas.openxmlformats.org/officeDocument/2006/relationships" ax:classid="{8BD21D40-EC42-11CE-9E0D-00AA006002F3}" ax:persistence="persistStreamInit" r:id="rId1"/>
</file>

<file path=xl/activeX/activeX20.xml><?xml version="1.0" encoding="utf-8"?>
<ax:ocx xmlns:ax="http://schemas.microsoft.com/office/2006/activeX" xmlns:r="http://schemas.openxmlformats.org/officeDocument/2006/relationships" ax:classid="{8BD21D10-EC42-11CE-9E0D-00AA006002F3}"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497414429691362"/>
          <c:y val="0.10566592372518949"/>
          <c:w val="0.74194252491602064"/>
          <c:h val="0.61773924639341549"/>
        </c:manualLayout>
      </c:layout>
      <c:scatterChart>
        <c:scatterStyle val="smoothMarker"/>
        <c:varyColors val="0"/>
        <c:ser>
          <c:idx val="0"/>
          <c:order val="0"/>
          <c:tx>
            <c:v>Magnitude</c:v>
          </c:tx>
          <c:spPr>
            <a:ln w="25400">
              <a:solidFill>
                <a:srgbClr val="000080"/>
              </a:solidFill>
              <a:prstDash val="solid"/>
            </a:ln>
          </c:spPr>
          <c:marker>
            <c:symbol val="none"/>
          </c:marker>
          <c:xVal>
            <c:numRef>
              <c:f>BodI!$B$2:$B$200</c:f>
              <c:numCache>
                <c:formatCode>General</c:formatCode>
                <c:ptCount val="199"/>
                <c:pt idx="0">
                  <c:v>0.1</c:v>
                </c:pt>
                <c:pt idx="1">
                  <c:v>0.10483347935810021</c:v>
                </c:pt>
                <c:pt idx="2">
                  <c:v>0.10990058394325208</c:v>
                </c:pt>
                <c:pt idx="3">
                  <c:v>0.11521260598258083</c:v>
                </c:pt>
                <c:pt idx="4">
                  <c:v>0.12078138351067803</c:v>
                </c:pt>
                <c:pt idx="5">
                  <c:v>0.12661932675109447</c:v>
                </c:pt>
                <c:pt idx="6">
                  <c:v>0.13273944577297414</c:v>
                </c:pt>
                <c:pt idx="7">
                  <c:v>0.1391553794844673</c:v>
                </c:pt>
                <c:pt idx="8">
                  <c:v>0.14588142602753496</c:v>
                </c:pt>
                <c:pt idx="9">
                  <c:v>0.1529325746418779</c:v>
                </c:pt>
                <c:pt idx="10">
                  <c:v>0.16032453906900421</c:v>
                </c:pt>
                <c:pt idx="11">
                  <c:v>0.16807379257087374</c:v>
                </c:pt>
                <c:pt idx="12">
                  <c:v>0.17619760464116302</c:v>
                </c:pt>
                <c:pt idx="13">
                  <c:v>0.18471407949096058</c:v>
                </c:pt>
                <c:pt idx="14">
                  <c:v>0.19364219639466071</c:v>
                </c:pt>
                <c:pt idx="15">
                  <c:v>0.20300185198596862</c:v>
                </c:pt>
                <c:pt idx="16">
                  <c:v>0.21281390459827129</c:v>
                </c:pt>
                <c:pt idx="17">
                  <c:v>0.22310022074819569</c:v>
                </c:pt>
                <c:pt idx="18">
                  <c:v>0.23388372386593542</c:v>
                </c:pt>
                <c:pt idx="19">
                  <c:v>0.24518844538095164</c:v>
                </c:pt>
                <c:pt idx="20">
                  <c:v>0.25703957827688662</c:v>
                </c:pt>
                <c:pt idx="21">
                  <c:v>0.2694635332350474</c:v>
                </c:pt>
                <c:pt idx="22">
                  <c:v>0.28248799749157083</c:v>
                </c:pt>
                <c:pt idx="23">
                  <c:v>0.29614199653943613</c:v>
                </c:pt>
                <c:pt idx="24">
                  <c:v>0.31045595881283577</c:v>
                </c:pt>
                <c:pt idx="25">
                  <c:v>0.32546178349804616</c:v>
                </c:pt>
                <c:pt idx="26">
                  <c:v>0.34119291162192861</c:v>
                </c:pt>
                <c:pt idx="27">
                  <c:v>0.35768440057647577</c:v>
                </c:pt>
                <c:pt idx="28">
                  <c:v>0.37497300224548369</c:v>
                </c:pt>
                <c:pt idx="29">
                  <c:v>0.39309724490746761</c:v>
                </c:pt>
                <c:pt idx="30">
                  <c:v>0.4120975190973305</c:v>
                </c:pt>
                <c:pt idx="31">
                  <c:v>0.43201616761814249</c:v>
                </c:pt>
                <c:pt idx="32">
                  <c:v>0.45289757990362123</c:v>
                </c:pt>
                <c:pt idx="33">
                  <c:v>0.47478829094159758</c:v>
                </c:pt>
                <c:pt idx="34">
                  <c:v>0.49773708497893626</c:v>
                </c:pt>
                <c:pt idx="35">
                  <c:v>0.5217951042390031</c:v>
                </c:pt>
                <c:pt idx="36">
                  <c:v>0.54701596289397203</c:v>
                </c:pt>
                <c:pt idx="37">
                  <c:v>0.57345586654596503</c:v>
                </c:pt>
                <c:pt idx="38">
                  <c:v>0.60117373748327818</c:v>
                </c:pt>
                <c:pt idx="39">
                  <c:v>0.63023134599085173</c:v>
                </c:pt>
                <c:pt idx="40">
                  <c:v>0.660693448007597</c:v>
                </c:pt>
                <c:pt idx="41">
                  <c:v>0.69262792943736384</c:v>
                </c:pt>
                <c:pt idx="42">
                  <c:v>0.72610595743515483</c:v>
                </c:pt>
                <c:pt idx="43">
                  <c:v>0.76120213900571854</c:v>
                </c:pt>
                <c:pt idx="44">
                  <c:v>0.79799468726797762</c:v>
                </c:pt>
                <c:pt idx="45">
                  <c:v>0.83656559575581046</c:v>
                </c:pt>
                <c:pt idx="46">
                  <c:v>0.87700082114363531</c:v>
                </c:pt>
                <c:pt idx="47">
                  <c:v>0.91939047480398106</c:v>
                </c:pt>
                <c:pt idx="48">
                  <c:v>0.96382902362397149</c:v>
                </c:pt>
                <c:pt idx="49">
                  <c:v>1.0104155005282145</c:v>
                </c:pt>
                <c:pt idx="50">
                  <c:v>1.0592537251772904</c:v>
                </c:pt>
                <c:pt idx="51">
                  <c:v>1.1104525353336407</c:v>
                </c:pt>
                <c:pt idx="52">
                  <c:v>1.164126029410492</c:v>
                </c:pt>
                <c:pt idx="53">
                  <c:v>1.2203938207443192</c:v>
                </c:pt>
                <c:pt idx="54">
                  <c:v>1.2793813041575262</c:v>
                </c:pt>
                <c:pt idx="55">
                  <c:v>1.3412199354053715</c:v>
                </c:pt>
                <c:pt idx="56">
                  <c:v>1.4060475241299157</c:v>
                </c:pt>
                <c:pt idx="57">
                  <c:v>1.4740085409738124</c:v>
                </c:pt>
                <c:pt idx="58">
                  <c:v>1.5452544395384149</c:v>
                </c:pt>
                <c:pt idx="59">
                  <c:v>1.6199439939036309</c:v>
                </c:pt>
                <c:pt idx="60">
                  <c:v>1.6982436524617446</c:v>
                </c:pt>
                <c:pt idx="61">
                  <c:v>1.7803279088537294</c:v>
                </c:pt>
                <c:pt idx="62">
                  <c:v>1.8663796908346708</c:v>
                </c:pt>
                <c:pt idx="63">
                  <c:v>1.9565907679349384</c:v>
                </c:pt>
                <c:pt idx="64">
                  <c:v>2.0511621788255687</c:v>
                </c:pt>
                <c:pt idx="65">
                  <c:v>2.1503046793402585</c:v>
                </c:pt>
                <c:pt idx="66">
                  <c:v>2.2542392121524299</c:v>
                </c:pt>
                <c:pt idx="67">
                  <c:v>2.3631973991540174</c:v>
                </c:pt>
                <c:pt idx="68">
                  <c:v>2.4774220576332868</c:v>
                </c:pt>
                <c:pt idx="69">
                  <c:v>2.5971677414020147</c:v>
                </c:pt>
                <c:pt idx="70">
                  <c:v>2.7227013080779146</c:v>
                </c:pt>
                <c:pt idx="71">
                  <c:v>2.8543025137865814</c:v>
                </c:pt>
                <c:pt idx="72">
                  <c:v>2.9922646366081933</c:v>
                </c:pt>
                <c:pt idx="73">
                  <c:v>3.1368951301583805</c:v>
                </c:pt>
                <c:pt idx="74">
                  <c:v>3.2885163087598359</c:v>
                </c:pt>
                <c:pt idx="75">
                  <c:v>3.4474660657314997</c:v>
                </c:pt>
                <c:pt idx="76">
                  <c:v>3.614098626396133</c:v>
                </c:pt>
                <c:pt idx="77">
                  <c:v>3.7887853374843723</c:v>
                </c:pt>
                <c:pt idx="78">
                  <c:v>3.9719154946944051</c:v>
                </c:pt>
                <c:pt idx="79">
                  <c:v>4.1638972102516485</c:v>
                </c:pt>
                <c:pt idx="80">
                  <c:v>4.3651583224016628</c:v>
                </c:pt>
                <c:pt idx="81">
                  <c:v>4.5761473488633388</c:v>
                </c:pt>
                <c:pt idx="82">
                  <c:v>4.7973344863668963</c:v>
                </c:pt>
                <c:pt idx="83">
                  <c:v>5.029212658504461</c:v>
                </c:pt>
                <c:pt idx="84">
                  <c:v>5.2722986142282346</c:v>
                </c:pt>
                <c:pt idx="85">
                  <c:v>5.527134079444358</c:v>
                </c:pt>
                <c:pt idx="86">
                  <c:v>5.7942869642688102</c:v>
                </c:pt>
                <c:pt idx="87">
                  <c:v>6.0743526286358431</c:v>
                </c:pt>
                <c:pt idx="88">
                  <c:v>6.3679552090791711</c:v>
                </c:pt>
                <c:pt idx="89">
                  <c:v>6.6757490096430647</c:v>
                </c:pt>
                <c:pt idx="90">
                  <c:v>6.9984199600227397</c:v>
                </c:pt>
                <c:pt idx="91">
                  <c:v>7.3366871441836006</c:v>
                </c:pt>
                <c:pt idx="92">
                  <c:v>7.6913044028661037</c:v>
                </c:pt>
                <c:pt idx="93">
                  <c:v>8.0630620135472846</c:v>
                </c:pt>
                <c:pt idx="94">
                  <c:v>8.4527884516029097</c:v>
                </c:pt>
                <c:pt idx="95">
                  <c:v>8.8613522365949944</c:v>
                </c:pt>
                <c:pt idx="96">
                  <c:v>9.2896638677993781</c:v>
                </c:pt>
                <c:pt idx="97">
                  <c:v>9.7386778532863492</c:v>
                </c:pt>
                <c:pt idx="98">
                  <c:v>10.209394837076818</c:v>
                </c:pt>
                <c:pt idx="99">
                  <c:v>10.70286382911387</c:v>
                </c:pt>
                <c:pt idx="100">
                  <c:v>11.220184543019659</c:v>
                </c:pt>
                <c:pt idx="101">
                  <c:v>11.762509846847239</c:v>
                </c:pt>
                <c:pt idx="102">
                  <c:v>12.3310483322891</c:v>
                </c:pt>
                <c:pt idx="103">
                  <c:v>12.927067008067624</c:v>
                </c:pt>
                <c:pt idx="104">
                  <c:v>13.551894123510374</c:v>
                </c:pt>
                <c:pt idx="105">
                  <c:v>14.206922128601839</c:v>
                </c:pt>
                <c:pt idx="106">
                  <c:v>14.893610777109172</c:v>
                </c:pt>
                <c:pt idx="107">
                  <c:v>15.613490379696527</c:v>
                </c:pt>
                <c:pt idx="108">
                  <c:v>16.368165214278115</c:v>
                </c:pt>
                <c:pt idx="109">
                  <c:v>17.159317101209979</c:v>
                </c:pt>
                <c:pt idx="110">
                  <c:v>17.988709151287882</c:v>
                </c:pt>
                <c:pt idx="111">
                  <c:v>18.858189694904056</c:v>
                </c:pt>
                <c:pt idx="112">
                  <c:v>19.769696401118654</c:v>
                </c:pt>
                <c:pt idx="113">
                  <c:v>20.725260595825759</c:v>
                </c:pt>
                <c:pt idx="114">
                  <c:v>21.727011788637466</c:v>
                </c:pt>
                <c:pt idx="115">
                  <c:v>22.777182418573243</c:v>
                </c:pt>
                <c:pt idx="116">
                  <c:v>23.878112829131805</c:v>
                </c:pt>
                <c:pt idx="117">
                  <c:v>25.032256483831755</c:v>
                </c:pt>
                <c:pt idx="118">
                  <c:v>26.242185433844458</c:v>
                </c:pt>
                <c:pt idx="119">
                  <c:v>27.510596049903697</c:v>
                </c:pt>
                <c:pt idx="120">
                  <c:v>28.840315031266062</c:v>
                </c:pt>
                <c:pt idx="121">
                  <c:v>30.234305705113421</c:v>
                </c:pt>
                <c:pt idx="122">
                  <c:v>31.695674630434922</c:v>
                </c:pt>
                <c:pt idx="123">
                  <c:v>33.227678521107585</c:v>
                </c:pt>
                <c:pt idx="124">
                  <c:v>34.8337315036012</c:v>
                </c:pt>
                <c:pt idx="125">
                  <c:v>36.517412725483801</c:v>
                </c:pt>
                <c:pt idx="126">
                  <c:v>38.282474331682302</c:v>
                </c:pt>
                <c:pt idx="127">
                  <c:v>40.13284982627416</c:v>
                </c:pt>
                <c:pt idx="128">
                  <c:v>42.072662838444536</c:v>
                </c:pt>
                <c:pt idx="129">
                  <c:v>44.106236312143835</c:v>
                </c:pt>
                <c:pt idx="130">
                  <c:v>46.238102139926106</c:v>
                </c:pt>
                <c:pt idx="131">
                  <c:v>48.4730112624367</c:v>
                </c:pt>
                <c:pt idx="132">
                  <c:v>50.815944256056063</c:v>
                </c:pt>
                <c:pt idx="133">
                  <c:v>53.272122432296214</c:v>
                </c:pt>
                <c:pt idx="134">
                  <c:v>55.847019473683105</c:v>
                </c:pt>
                <c:pt idx="135">
                  <c:v>58.546373632057758</c:v>
                </c:pt>
                <c:pt idx="136">
                  <c:v>61.376200516479472</c:v>
                </c:pt>
                <c:pt idx="137">
                  <c:v>64.342806499229795</c:v>
                </c:pt>
                <c:pt idx="138">
                  <c:v>67.452802769792399</c:v>
                </c:pt>
                <c:pt idx="139">
                  <c:v>70.713120068130195</c:v>
                </c:pt>
                <c:pt idx="140">
                  <c:v>74.131024130091859</c:v>
                </c:pt>
                <c:pt idx="141">
                  <c:v>77.714131879368097</c:v>
                </c:pt>
                <c:pt idx="142">
                  <c:v>81.470428402083954</c:v>
                </c:pt>
                <c:pt idx="143">
                  <c:v>85.408284741854459</c:v>
                </c:pt>
                <c:pt idx="144">
                  <c:v>89.536476554959421</c:v>
                </c:pt>
                <c:pt idx="145">
                  <c:v>93.864203667213729</c:v>
                </c:pt>
                <c:pt idx="146">
                  <c:v>98.401110576113609</c:v>
                </c:pt>
                <c:pt idx="147">
                  <c:v>103.15730794395138</c:v>
                </c:pt>
                <c:pt idx="148">
                  <c:v>108.1433951297941</c:v>
                </c:pt>
                <c:pt idx="149">
                  <c:v>113.37048381054119</c:v>
                </c:pt>
                <c:pt idx="150">
                  <c:v>118.85022274370199</c:v>
                </c:pt>
                <c:pt idx="151">
                  <c:v>124.59482372707467</c:v>
                </c:pt>
                <c:pt idx="152">
                  <c:v>130.61708881318413</c:v>
                </c:pt>
                <c:pt idx="153">
                  <c:v>136.93043883912074</c:v>
                </c:pt>
                <c:pt idx="154">
                  <c:v>143.54894333536586</c:v>
                </c:pt>
                <c:pt idx="155">
                  <c:v>150.48735188025168</c:v>
                </c:pt>
                <c:pt idx="156">
                  <c:v>157.76112696993519</c:v>
                </c:pt>
                <c:pt idx="157">
                  <c:v>165.38647847713324</c:v>
                </c:pt>
                <c:pt idx="158">
                  <c:v>173.38039977541422</c:v>
                </c:pt>
                <c:pt idx="159">
                  <c:v>181.76070560955012</c:v>
                </c:pt>
                <c:pt idx="160">
                  <c:v>190.54607179632492</c:v>
                </c:pt>
                <c:pt idx="161">
                  <c:v>199.75607684427067</c:v>
                </c:pt>
                <c:pt idx="162">
                  <c:v>209.41124558508955</c:v>
                </c:pt>
                <c:pt idx="163">
                  <c:v>219.53309491398531</c:v>
                </c:pt>
                <c:pt idx="164">
                  <c:v>230.14418174085122</c:v>
                </c:pt>
                <c:pt idx="165">
                  <c:v>241.2681532591638</c:v>
                </c:pt>
                <c:pt idx="166">
                  <c:v>252.92979964461497</c:v>
                </c:pt>
                <c:pt idx="167">
                  <c:v>265.15510930092154</c:v>
                </c:pt>
                <c:pt idx="168">
                  <c:v>277.97132677592901</c:v>
                </c:pt>
                <c:pt idx="169">
                  <c:v>291.40701347708074</c:v>
                </c:pt>
                <c:pt idx="170">
                  <c:v>305.49211132155216</c:v>
                </c:pt>
                <c:pt idx="171">
                  <c:v>320.2580094629032</c:v>
                </c:pt>
                <c:pt idx="172">
                  <c:v>335.73761424295503</c:v>
                </c:pt>
                <c:pt idx="173">
                  <c:v>351.96542252476632</c:v>
                </c:pt>
                <c:pt idx="174">
                  <c:v>368.97759857015092</c:v>
                </c:pt>
                <c:pt idx="175">
                  <c:v>386.81205463305287</c:v>
                </c:pt>
                <c:pt idx="176">
                  <c:v>405.50853544838458</c:v>
                </c:pt>
                <c:pt idx="177">
                  <c:v>425.10870680461653</c:v>
                </c:pt>
                <c:pt idx="178">
                  <c:v>445.65624839750348</c:v>
                </c:pt>
                <c:pt idx="179">
                  <c:v>467.19695117188121</c:v>
                </c:pt>
                <c:pt idx="180">
                  <c:v>489.77881936844653</c:v>
                </c:pt>
                <c:pt idx="181">
                  <c:v>513.45217750296717</c:v>
                </c:pt>
                <c:pt idx="182">
                  <c:v>538.26978251628884</c:v>
                </c:pt>
                <c:pt idx="183">
                  <c:v>564.28694134510431</c:v>
                </c:pt>
                <c:pt idx="184">
                  <c:v>591.56163417547475</c:v>
                </c:pt>
                <c:pt idx="185">
                  <c:v>620.15464365378637</c:v>
                </c:pt>
                <c:pt idx="186">
                  <c:v>650.12969034309288</c:v>
                </c:pt>
                <c:pt idx="187">
                  <c:v>681.55357472670687</c:v>
                </c:pt>
                <c:pt idx="188">
                  <c:v>714.49632607551473</c:v>
                </c:pt>
                <c:pt idx="189">
                  <c:v>749.03135851075888</c:v>
                </c:pt>
                <c:pt idx="190">
                  <c:v>785.23563461007222</c:v>
                </c:pt>
                <c:pt idx="191">
                  <c:v>823.18983692139693</c:v>
                </c:pt>
                <c:pt idx="192">
                  <c:v>862.97854776697102</c:v>
                </c:pt>
                <c:pt idx="193">
                  <c:v>904.69043773812018</c:v>
                </c:pt>
                <c:pt idx="194">
                  <c:v>948.41846330089822</c:v>
                </c:pt>
                <c:pt idx="195">
                  <c:v>994.26007395295971</c:v>
                </c:pt>
                <c:pt idx="196">
                  <c:v>1042.3174293933057</c:v>
                </c:pt>
                <c:pt idx="197">
                  <c:v>1092.6976271889114</c:v>
                </c:pt>
                <c:pt idx="198">
                  <c:v>1145.5129414455375</c:v>
                </c:pt>
              </c:numCache>
            </c:numRef>
          </c:xVal>
          <c:yVal>
            <c:numRef>
              <c:f>BodI!$U$2:$U$200</c:f>
              <c:numCache>
                <c:formatCode>General</c:formatCode>
                <c:ptCount val="199"/>
                <c:pt idx="0">
                  <c:v>68.639753439941742</c:v>
                </c:pt>
                <c:pt idx="1">
                  <c:v>68.131854999505492</c:v>
                </c:pt>
                <c:pt idx="2">
                  <c:v>67.607285611380789</c:v>
                </c:pt>
                <c:pt idx="3">
                  <c:v>67.06641533010287</c:v>
                </c:pt>
                <c:pt idx="4">
                  <c:v>66.50965927371665</c:v>
                </c:pt>
                <c:pt idx="5">
                  <c:v>65.937473400979883</c:v>
                </c:pt>
                <c:pt idx="6">
                  <c:v>65.350349928797854</c:v>
                </c:pt>
                <c:pt idx="7">
                  <c:v>64.748812471140383</c:v>
                </c:pt>
                <c:pt idx="8">
                  <c:v>64.133410989122282</c:v>
                </c:pt>
                <c:pt idx="9">
                  <c:v>63.504716647250127</c:v>
                </c:pt>
                <c:pt idx="10">
                  <c:v>62.863316672496239</c:v>
                </c:pt>
                <c:pt idx="11">
                  <c:v>62.209809310639926</c:v>
                </c:pt>
                <c:pt idx="12">
                  <c:v>61.544798968348033</c:v>
                </c:pt>
                <c:pt idx="13">
                  <c:v>60.8688916202006</c:v>
                </c:pt>
                <c:pt idx="14">
                  <c:v>60.182690547987775</c:v>
                </c:pt>
                <c:pt idx="15">
                  <c:v>59.486792465948156</c:v>
                </c:pt>
                <c:pt idx="16">
                  <c:v>58.781784071072721</c:v>
                </c:pt>
                <c:pt idx="17">
                  <c:v>58.06823904301298</c:v>
                </c:pt>
                <c:pt idx="18">
                  <c:v>57.346715504255378</c:v>
                </c:pt>
                <c:pt idx="19">
                  <c:v>56.617753938648555</c:v>
                </c:pt>
                <c:pt idx="20">
                  <c:v>55.881875555520224</c:v>
                </c:pt>
                <c:pt idx="21">
                  <c:v>55.139581077741468</c:v>
                </c:pt>
                <c:pt idx="22">
                  <c:v>54.391349925278099</c:v>
                </c:pt>
                <c:pt idx="23">
                  <c:v>53.63763976096309</c:v>
                </c:pt>
                <c:pt idx="24">
                  <c:v>52.87888636228508</c:v>
                </c:pt>
                <c:pt idx="25">
                  <c:v>52.115503781696447</c:v>
                </c:pt>
                <c:pt idx="26">
                  <c:v>51.347884758041843</c:v>
                </c:pt>
                <c:pt idx="27">
                  <c:v>50.576401342922814</c:v>
                </c:pt>
                <c:pt idx="28">
                  <c:v>49.801405707877429</c:v>
                </c:pt>
                <c:pt idx="29">
                  <c:v>49.023231100916824</c:v>
                </c:pt>
                <c:pt idx="30">
                  <c:v>48.242192924006268</c:v>
                </c:pt>
                <c:pt idx="31">
                  <c:v>47.45858990631563</c:v>
                </c:pt>
                <c:pt idx="32">
                  <c:v>46.672705351344185</c:v>
                </c:pt>
                <c:pt idx="33">
                  <c:v>45.884808439225424</c:v>
                </c:pt>
                <c:pt idx="34">
                  <c:v>45.09515556854813</c:v>
                </c:pt>
                <c:pt idx="35">
                  <c:v>44.303991724827981</c:v>
                </c:pt>
                <c:pt idx="36">
                  <c:v>43.511551865282598</c:v>
                </c:pt>
                <c:pt idx="37">
                  <c:v>42.718062311777658</c:v>
                </c:pt>
                <c:pt idx="38">
                  <c:v>41.923742145707962</c:v>
                </c:pt>
                <c:pt idx="39">
                  <c:v>41.128804600148207</c:v>
                </c:pt>
                <c:pt idx="40">
                  <c:v>40.333458445857694</c:v>
                </c:pt>
                <c:pt idx="41">
                  <c:v>39.537909368651697</c:v>
                </c:pt>
                <c:pt idx="42">
                  <c:v>38.742361336268822</c:v>
                </c:pt>
                <c:pt idx="43">
                  <c:v>37.947017953171922</c:v>
                </c:pt>
                <c:pt idx="44">
                  <c:v>37.15208380172561</c:v>
                </c:pt>
                <c:pt idx="45">
                  <c:v>36.357765767899295</c:v>
                </c:pt>
                <c:pt idx="46">
                  <c:v>35.564274349054941</c:v>
                </c:pt>
                <c:pt idx="47">
                  <c:v>34.771824940493978</c:v>
                </c:pt>
                <c:pt idx="48">
                  <c:v>33.980639096260397</c:v>
                </c:pt>
                <c:pt idx="49">
                  <c:v>33.190945758234783</c:v>
                </c:pt>
                <c:pt idx="50">
                  <c:v>32.402982445811745</c:v>
                </c:pt>
                <c:pt idx="51">
                  <c:v>31.61699639645213</c:v>
                </c:pt>
                <c:pt idx="52">
                  <c:v>30.833245645163718</c:v>
                </c:pt>
                <c:pt idx="53">
                  <c:v>30.052000028534135</c:v>
                </c:pt>
                <c:pt idx="54">
                  <c:v>29.273542096373998</c:v>
                </c:pt>
                <c:pt idx="55">
                  <c:v>28.498167911409176</c:v>
                </c:pt>
                <c:pt idx="56">
                  <c:v>27.726187714895929</c:v>
                </c:pt>
                <c:pt idx="57">
                  <c:v>26.957926433659633</c:v>
                </c:pt>
                <c:pt idx="58">
                  <c:v>26.193724002045645</c:v>
                </c:pt>
                <c:pt idx="59">
                  <c:v>25.433935470824657</c:v>
                </c:pt>
                <c:pt idx="60">
                  <c:v>24.678930874443925</c:v>
                </c:pt>
                <c:pt idx="61">
                  <c:v>23.929094828418286</c:v>
                </c:pt>
                <c:pt idx="62">
                  <c:v>23.184825830377235</c:v>
                </c:pt>
                <c:pt idx="63">
                  <c:v>22.446535241586957</c:v>
                </c:pt>
                <c:pt idx="64">
                  <c:v>21.71464593088406</c:v>
                </c:pt>
                <c:pt idx="65">
                  <c:v>20.989590570061466</c:v>
                </c:pt>
                <c:pt idx="66">
                  <c:v>20.271809578918841</c:v>
                </c:pt>
                <c:pt idx="67">
                  <c:v>19.561748729381605</c:v>
                </c:pt>
                <c:pt idx="68">
                  <c:v>18.859856431089057</c:v>
                </c:pt>
                <c:pt idx="69">
                  <c:v>18.166580735249035</c:v>
                </c:pt>
                <c:pt idx="70">
                  <c:v>17.48236610873839</c:v>
                </c:pt>
                <c:pt idx="71">
                  <c:v>16.807650045572089</c:v>
                </c:pt>
                <c:pt idx="72">
                  <c:v>16.142859596970744</c:v>
                </c:pt>
                <c:pt idx="73">
                  <c:v>15.488407913197697</c:v>
                </c:pt>
                <c:pt idx="74">
                  <c:v>14.844690898945267</c:v>
                </c:pt>
                <c:pt idx="75">
                  <c:v>14.212084088220863</c:v>
                </c:pt>
                <c:pt idx="76">
                  <c:v>13.590939843493274</c:v>
                </c:pt>
                <c:pt idx="77">
                  <c:v>12.981584976693469</c:v>
                </c:pt>
                <c:pt idx="78">
                  <c:v>12.384318876315056</c:v>
                </c:pt>
                <c:pt idx="79">
                  <c:v>11.79941220560211</c:v>
                </c:pt>
                <c:pt idx="80">
                  <c:v>11.227106212434407</c:v>
                </c:pt>
                <c:pt idx="81">
                  <c:v>10.667612663279257</c:v>
                </c:pt>
                <c:pt idx="82">
                  <c:v>10.121114383134355</c:v>
                </c:pt>
                <c:pt idx="83">
                  <c:v>9.5877663526417649</c:v>
                </c:pt>
                <c:pt idx="84">
                  <c:v>9.0676972845149635</c:v>
                </c:pt>
                <c:pt idx="85">
                  <c:v>8.5610115759986698</c:v>
                </c:pt>
                <c:pt idx="86">
                  <c:v>8.0677915139410317</c:v>
                </c:pt>
                <c:pt idx="87">
                  <c:v>7.5880995954781625</c:v>
                </c:pt>
                <c:pt idx="88">
                  <c:v>7.1219808211232163</c:v>
                </c:pt>
                <c:pt idx="89">
                  <c:v>6.6694648185186196</c:v>
                </c:pt>
                <c:pt idx="90">
                  <c:v>6.2305676640627894</c:v>
                </c:pt>
                <c:pt idx="91">
                  <c:v>5.8052932854210155</c:v>
                </c:pt>
                <c:pt idx="92">
                  <c:v>5.3936343495650689</c:v>
                </c:pt>
                <c:pt idx="93">
                  <c:v>4.9955725671548663</c:v>
                </c:pt>
                <c:pt idx="94">
                  <c:v>4.6110783732627993</c:v>
                </c:pt>
                <c:pt idx="95">
                  <c:v>4.2401099749970683</c:v>
                </c:pt>
                <c:pt idx="96">
                  <c:v>3.8826117867761596</c:v>
                </c:pt>
                <c:pt idx="97">
                  <c:v>3.5385123021000879</c:v>
                </c:pt>
                <c:pt idx="98">
                  <c:v>3.2077214749444778</c:v>
                </c:pt>
                <c:pt idx="99">
                  <c:v>2.8901277027668968</c:v>
                </c:pt>
                <c:pt idx="100">
                  <c:v>2.5855945151129518</c:v>
                </c:pt>
                <c:pt idx="101">
                  <c:v>2.2939570757415737</c:v>
                </c:pt>
                <c:pt idx="102">
                  <c:v>2.0150186011604561</c:v>
                </c:pt>
                <c:pt idx="103">
                  <c:v>1.7485467839522215</c:v>
                </c:pt>
                <c:pt idx="104">
                  <c:v>1.4942702851604537</c:v>
                </c:pt>
                <c:pt idx="105">
                  <c:v>1.2518753265707403</c:v>
                </c:pt>
                <c:pt idx="106">
                  <c:v>1.021002371573374</c:v>
                </c:pt>
                <c:pt idx="107">
                  <c:v>0.80124283326841805</c:v>
                </c:pt>
                <c:pt idx="108">
                  <c:v>0.59213569145769895</c:v>
                </c:pt>
                <c:pt idx="109">
                  <c:v>0.39316383692153778</c:v>
                </c:pt>
                <c:pt idx="110">
                  <c:v>0.20374989232033158</c:v>
                </c:pt>
                <c:pt idx="111">
                  <c:v>2.3251184106612754E-2</c:v>
                </c:pt>
                <c:pt idx="112">
                  <c:v>-0.14904654171880338</c:v>
                </c:pt>
                <c:pt idx="113">
                  <c:v>-0.31393715662325405</c:v>
                </c:pt>
                <c:pt idx="114">
                  <c:v>-0.47230453500809233</c:v>
                </c:pt>
                <c:pt idx="115">
                  <c:v>-0.62513599413820486</c:v>
                </c:pt>
                <c:pt idx="116">
                  <c:v>-0.77353961693845008</c:v>
                </c:pt>
                <c:pt idx="117">
                  <c:v>-0.91876641896330113</c:v>
                </c:pt>
                <c:pt idx="118">
                  <c:v>-1.0622384581486983</c:v>
                </c:pt>
                <c:pt idx="119">
                  <c:v>-1.2055841134985457</c:v>
                </c:pt>
                <c:pt idx="120">
                  <c:v>-1.3506818493747375</c:v>
                </c:pt>
                <c:pt idx="121">
                  <c:v>-1.4997137881497338</c:v>
                </c:pt>
                <c:pt idx="122">
                  <c:v>-1.6552302592813817</c:v>
                </c:pt>
                <c:pt idx="123">
                  <c:v>-1.8202260626739246</c:v>
                </c:pt>
                <c:pt idx="124">
                  <c:v>-1.9982283194442374</c:v>
                </c:pt>
                <c:pt idx="125">
                  <c:v>-2.1933942866981369</c:v>
                </c:pt>
                <c:pt idx="126">
                  <c:v>-2.410615184181907</c:v>
                </c:pt>
                <c:pt idx="127">
                  <c:v>-2.6556188061084356</c:v>
                </c:pt>
                <c:pt idx="128">
                  <c:v>-2.9350596220747605</c:v>
                </c:pt>
                <c:pt idx="129">
                  <c:v>-3.2565809083965291</c:v>
                </c:pt>
                <c:pt idx="130">
                  <c:v>-3.628830806051397</c:v>
                </c:pt>
                <c:pt idx="131">
                  <c:v>-4.0614158617594001</c:v>
                </c:pt>
                <c:pt idx="132">
                  <c:v>-4.5647853753124252</c:v>
                </c:pt>
                <c:pt idx="133">
                  <c:v>-5.1500615338058111</c:v>
                </c:pt>
                <c:pt idx="134">
                  <c:v>-5.8288656291839516</c:v>
                </c:pt>
                <c:pt idx="135">
                  <c:v>-6.6132373484373659</c:v>
                </c:pt>
                <c:pt idx="136">
                  <c:v>-7.515796287766733</c:v>
                </c:pt>
                <c:pt idx="137">
                  <c:v>-8.5503490862280955</c:v>
                </c:pt>
                <c:pt idx="138">
                  <c:v>-9.733215095546015</c:v>
                </c:pt>
                <c:pt idx="139">
                  <c:v>-11.085681689408048</c:v>
                </c:pt>
                <c:pt idx="140">
                  <c:v>-12.638346057325975</c:v>
                </c:pt>
                <c:pt idx="141">
                  <c:v>-14.439006615368697</c:v>
                </c:pt>
                <c:pt idx="142">
                  <c:v>-16.568268717316627</c:v>
                </c:pt>
                <c:pt idx="143">
                  <c:v>-19.174833652923184</c:v>
                </c:pt>
                <c:pt idx="144">
                  <c:v>-22.572582477476786</c:v>
                </c:pt>
                <c:pt idx="145">
                  <c:v>-27.608705011355354</c:v>
                </c:pt>
                <c:pt idx="146">
                  <c:v>-38.637944566208446</c:v>
                </c:pt>
                <c:pt idx="147">
                  <c:v>-36.11084955945222</c:v>
                </c:pt>
                <c:pt idx="148">
                  <c:v>-27.83326004719828</c:v>
                </c:pt>
                <c:pt idx="149">
                  <c:v>-23.977649142599887</c:v>
                </c:pt>
                <c:pt idx="150">
                  <c:v>-21.544697864576776</c:v>
                </c:pt>
                <c:pt idx="151">
                  <c:v>-19.852861949636662</c:v>
                </c:pt>
                <c:pt idx="152">
                  <c:v>-18.666996456941263</c:v>
                </c:pt>
                <c:pt idx="153">
                  <c:v>-17.924043550939032</c:v>
                </c:pt>
                <c:pt idx="154">
                  <c:v>-17.660075755601099</c:v>
                </c:pt>
                <c:pt idx="155">
                  <c:v>-17.970470982663613</c:v>
                </c:pt>
                <c:pt idx="156">
                  <c:v>-18.961168244611798</c:v>
                </c:pt>
                <c:pt idx="157">
                  <c:v>-20.711536509885306</c:v>
                </c:pt>
                <c:pt idx="158">
                  <c:v>-23.314335219491994</c:v>
                </c:pt>
                <c:pt idx="159">
                  <c:v>-27.062017030405798</c:v>
                </c:pt>
                <c:pt idx="160">
                  <c:v>-33.120591309258174</c:v>
                </c:pt>
                <c:pt idx="161">
                  <c:v>-54.320914314631167</c:v>
                </c:pt>
                <c:pt idx="162">
                  <c:v>-35.757666943744596</c:v>
                </c:pt>
                <c:pt idx="163">
                  <c:v>-29.685382139385041</c:v>
                </c:pt>
                <c:pt idx="164">
                  <c:v>-26.559941381390203</c:v>
                </c:pt>
                <c:pt idx="165">
                  <c:v>-24.988341267023557</c:v>
                </c:pt>
                <c:pt idx="166">
                  <c:v>-25.023820171643578</c:v>
                </c:pt>
                <c:pt idx="167">
                  <c:v>-26.964649875616047</c:v>
                </c:pt>
                <c:pt idx="168">
                  <c:v>-31.059300614223631</c:v>
                </c:pt>
                <c:pt idx="169">
                  <c:v>-39.226457400940987</c:v>
                </c:pt>
                <c:pt idx="170">
                  <c:v>-46.619118417702026</c:v>
                </c:pt>
                <c:pt idx="171">
                  <c:v>-34.461345182449278</c:v>
                </c:pt>
                <c:pt idx="172">
                  <c:v>-30.227696737367893</c:v>
                </c:pt>
                <c:pt idx="173">
                  <c:v>-29.226570802380948</c:v>
                </c:pt>
                <c:pt idx="174">
                  <c:v>-31.868614109076987</c:v>
                </c:pt>
                <c:pt idx="175">
                  <c:v>-39.149201905943642</c:v>
                </c:pt>
                <c:pt idx="176">
                  <c:v>-50.793774371646222</c:v>
                </c:pt>
                <c:pt idx="177">
                  <c:v>-36.098202073605762</c:v>
                </c:pt>
                <c:pt idx="178">
                  <c:v>-32.271512529019432</c:v>
                </c:pt>
                <c:pt idx="179">
                  <c:v>-34.180055612747339</c:v>
                </c:pt>
                <c:pt idx="180">
                  <c:v>-43.600230314682065</c:v>
                </c:pt>
                <c:pt idx="181">
                  <c:v>-44.363746623741889</c:v>
                </c:pt>
                <c:pt idx="182">
                  <c:v>-35.392757297788336</c:v>
                </c:pt>
                <c:pt idx="183">
                  <c:v>-35.673781114297867</c:v>
                </c:pt>
                <c:pt idx="184">
                  <c:v>-46.765502037857388</c:v>
                </c:pt>
                <c:pt idx="185">
                  <c:v>-42.625565539080824</c:v>
                </c:pt>
                <c:pt idx="186">
                  <c:v>-36.194253116347724</c:v>
                </c:pt>
                <c:pt idx="187">
                  <c:v>-42.314978680721936</c:v>
                </c:pt>
                <c:pt idx="188">
                  <c:v>-47.619613021161811</c:v>
                </c:pt>
                <c:pt idx="189">
                  <c:v>-37.700247038393186</c:v>
                </c:pt>
                <c:pt idx="190">
                  <c:v>-45.243014475054196</c:v>
                </c:pt>
                <c:pt idx="191">
                  <c:v>-44.463042348443295</c:v>
                </c:pt>
                <c:pt idx="192">
                  <c:v>-39.680426097090148</c:v>
                </c:pt>
                <c:pt idx="193">
                  <c:v>-68.095519095135074</c:v>
                </c:pt>
                <c:pt idx="194">
                  <c:v>-40.102665490149874</c:v>
                </c:pt>
                <c:pt idx="195">
                  <c:v>-53.109261171034561</c:v>
                </c:pt>
                <c:pt idx="196">
                  <c:v>-41.711096309709475</c:v>
                </c:pt>
                <c:pt idx="197">
                  <c:v>-52.376626849726151</c:v>
                </c:pt>
                <c:pt idx="198">
                  <c:v>-42.231282678084341</c:v>
                </c:pt>
              </c:numCache>
            </c:numRef>
          </c:yVal>
          <c:smooth val="1"/>
          <c:extLst>
            <c:ext xmlns:c16="http://schemas.microsoft.com/office/drawing/2014/chart" uri="{C3380CC4-5D6E-409C-BE32-E72D297353CC}">
              <c16:uniqueId val="{00000000-DDDF-40AF-B3DF-65E87BD69A95}"/>
            </c:ext>
          </c:extLst>
        </c:ser>
        <c:dLbls>
          <c:showLegendKey val="0"/>
          <c:showVal val="0"/>
          <c:showCatName val="0"/>
          <c:showSerName val="0"/>
          <c:showPercent val="0"/>
          <c:showBubbleSize val="0"/>
        </c:dLbls>
        <c:axId val="1183291567"/>
        <c:axId val="1"/>
      </c:scatterChart>
      <c:scatterChart>
        <c:scatterStyle val="lineMarker"/>
        <c:varyColors val="0"/>
        <c:ser>
          <c:idx val="1"/>
          <c:order val="1"/>
          <c:tx>
            <c:v>Phase</c:v>
          </c:tx>
          <c:spPr>
            <a:ln w="25400">
              <a:solidFill>
                <a:srgbClr val="FF00FF"/>
              </a:solidFill>
              <a:prstDash val="solid"/>
            </a:ln>
          </c:spPr>
          <c:marker>
            <c:symbol val="none"/>
          </c:marker>
          <c:xVal>
            <c:numRef>
              <c:f>BodI!$B$2:$B$200</c:f>
              <c:numCache>
                <c:formatCode>General</c:formatCode>
                <c:ptCount val="199"/>
                <c:pt idx="0">
                  <c:v>0.1</c:v>
                </c:pt>
                <c:pt idx="1">
                  <c:v>0.10483347935810021</c:v>
                </c:pt>
                <c:pt idx="2">
                  <c:v>0.10990058394325208</c:v>
                </c:pt>
                <c:pt idx="3">
                  <c:v>0.11521260598258083</c:v>
                </c:pt>
                <c:pt idx="4">
                  <c:v>0.12078138351067803</c:v>
                </c:pt>
                <c:pt idx="5">
                  <c:v>0.12661932675109447</c:v>
                </c:pt>
                <c:pt idx="6">
                  <c:v>0.13273944577297414</c:v>
                </c:pt>
                <c:pt idx="7">
                  <c:v>0.1391553794844673</c:v>
                </c:pt>
                <c:pt idx="8">
                  <c:v>0.14588142602753496</c:v>
                </c:pt>
                <c:pt idx="9">
                  <c:v>0.1529325746418779</c:v>
                </c:pt>
                <c:pt idx="10">
                  <c:v>0.16032453906900421</c:v>
                </c:pt>
                <c:pt idx="11">
                  <c:v>0.16807379257087374</c:v>
                </c:pt>
                <c:pt idx="12">
                  <c:v>0.17619760464116302</c:v>
                </c:pt>
                <c:pt idx="13">
                  <c:v>0.18471407949096058</c:v>
                </c:pt>
                <c:pt idx="14">
                  <c:v>0.19364219639466071</c:v>
                </c:pt>
                <c:pt idx="15">
                  <c:v>0.20300185198596862</c:v>
                </c:pt>
                <c:pt idx="16">
                  <c:v>0.21281390459827129</c:v>
                </c:pt>
                <c:pt idx="17">
                  <c:v>0.22310022074819569</c:v>
                </c:pt>
                <c:pt idx="18">
                  <c:v>0.23388372386593542</c:v>
                </c:pt>
                <c:pt idx="19">
                  <c:v>0.24518844538095164</c:v>
                </c:pt>
                <c:pt idx="20">
                  <c:v>0.25703957827688662</c:v>
                </c:pt>
                <c:pt idx="21">
                  <c:v>0.2694635332350474</c:v>
                </c:pt>
                <c:pt idx="22">
                  <c:v>0.28248799749157083</c:v>
                </c:pt>
                <c:pt idx="23">
                  <c:v>0.29614199653943613</c:v>
                </c:pt>
                <c:pt idx="24">
                  <c:v>0.31045595881283577</c:v>
                </c:pt>
                <c:pt idx="25">
                  <c:v>0.32546178349804616</c:v>
                </c:pt>
                <c:pt idx="26">
                  <c:v>0.34119291162192861</c:v>
                </c:pt>
                <c:pt idx="27">
                  <c:v>0.35768440057647577</c:v>
                </c:pt>
                <c:pt idx="28">
                  <c:v>0.37497300224548369</c:v>
                </c:pt>
                <c:pt idx="29">
                  <c:v>0.39309724490746761</c:v>
                </c:pt>
                <c:pt idx="30">
                  <c:v>0.4120975190973305</c:v>
                </c:pt>
                <c:pt idx="31">
                  <c:v>0.43201616761814249</c:v>
                </c:pt>
                <c:pt idx="32">
                  <c:v>0.45289757990362123</c:v>
                </c:pt>
                <c:pt idx="33">
                  <c:v>0.47478829094159758</c:v>
                </c:pt>
                <c:pt idx="34">
                  <c:v>0.49773708497893626</c:v>
                </c:pt>
                <c:pt idx="35">
                  <c:v>0.5217951042390031</c:v>
                </c:pt>
                <c:pt idx="36">
                  <c:v>0.54701596289397203</c:v>
                </c:pt>
                <c:pt idx="37">
                  <c:v>0.57345586654596503</c:v>
                </c:pt>
                <c:pt idx="38">
                  <c:v>0.60117373748327818</c:v>
                </c:pt>
                <c:pt idx="39">
                  <c:v>0.63023134599085173</c:v>
                </c:pt>
                <c:pt idx="40">
                  <c:v>0.660693448007597</c:v>
                </c:pt>
                <c:pt idx="41">
                  <c:v>0.69262792943736384</c:v>
                </c:pt>
                <c:pt idx="42">
                  <c:v>0.72610595743515483</c:v>
                </c:pt>
                <c:pt idx="43">
                  <c:v>0.76120213900571854</c:v>
                </c:pt>
                <c:pt idx="44">
                  <c:v>0.79799468726797762</c:v>
                </c:pt>
                <c:pt idx="45">
                  <c:v>0.83656559575581046</c:v>
                </c:pt>
                <c:pt idx="46">
                  <c:v>0.87700082114363531</c:v>
                </c:pt>
                <c:pt idx="47">
                  <c:v>0.91939047480398106</c:v>
                </c:pt>
                <c:pt idx="48">
                  <c:v>0.96382902362397149</c:v>
                </c:pt>
                <c:pt idx="49">
                  <c:v>1.0104155005282145</c:v>
                </c:pt>
                <c:pt idx="50">
                  <c:v>1.0592537251772904</c:v>
                </c:pt>
                <c:pt idx="51">
                  <c:v>1.1104525353336407</c:v>
                </c:pt>
                <c:pt idx="52">
                  <c:v>1.164126029410492</c:v>
                </c:pt>
                <c:pt idx="53">
                  <c:v>1.2203938207443192</c:v>
                </c:pt>
                <c:pt idx="54">
                  <c:v>1.2793813041575262</c:v>
                </c:pt>
                <c:pt idx="55">
                  <c:v>1.3412199354053715</c:v>
                </c:pt>
                <c:pt idx="56">
                  <c:v>1.4060475241299157</c:v>
                </c:pt>
                <c:pt idx="57">
                  <c:v>1.4740085409738124</c:v>
                </c:pt>
                <c:pt idx="58">
                  <c:v>1.5452544395384149</c:v>
                </c:pt>
                <c:pt idx="59">
                  <c:v>1.6199439939036309</c:v>
                </c:pt>
                <c:pt idx="60">
                  <c:v>1.6982436524617446</c:v>
                </c:pt>
                <c:pt idx="61">
                  <c:v>1.7803279088537294</c:v>
                </c:pt>
                <c:pt idx="62">
                  <c:v>1.8663796908346708</c:v>
                </c:pt>
                <c:pt idx="63">
                  <c:v>1.9565907679349384</c:v>
                </c:pt>
                <c:pt idx="64">
                  <c:v>2.0511621788255687</c:v>
                </c:pt>
                <c:pt idx="65">
                  <c:v>2.1503046793402585</c:v>
                </c:pt>
                <c:pt idx="66">
                  <c:v>2.2542392121524299</c:v>
                </c:pt>
                <c:pt idx="67">
                  <c:v>2.3631973991540174</c:v>
                </c:pt>
                <c:pt idx="68">
                  <c:v>2.4774220576332868</c:v>
                </c:pt>
                <c:pt idx="69">
                  <c:v>2.5971677414020147</c:v>
                </c:pt>
                <c:pt idx="70">
                  <c:v>2.7227013080779146</c:v>
                </c:pt>
                <c:pt idx="71">
                  <c:v>2.8543025137865814</c:v>
                </c:pt>
                <c:pt idx="72">
                  <c:v>2.9922646366081933</c:v>
                </c:pt>
                <c:pt idx="73">
                  <c:v>3.1368951301583805</c:v>
                </c:pt>
                <c:pt idx="74">
                  <c:v>3.2885163087598359</c:v>
                </c:pt>
                <c:pt idx="75">
                  <c:v>3.4474660657314997</c:v>
                </c:pt>
                <c:pt idx="76">
                  <c:v>3.614098626396133</c:v>
                </c:pt>
                <c:pt idx="77">
                  <c:v>3.7887853374843723</c:v>
                </c:pt>
                <c:pt idx="78">
                  <c:v>3.9719154946944051</c:v>
                </c:pt>
                <c:pt idx="79">
                  <c:v>4.1638972102516485</c:v>
                </c:pt>
                <c:pt idx="80">
                  <c:v>4.3651583224016628</c:v>
                </c:pt>
                <c:pt idx="81">
                  <c:v>4.5761473488633388</c:v>
                </c:pt>
                <c:pt idx="82">
                  <c:v>4.7973344863668963</c:v>
                </c:pt>
                <c:pt idx="83">
                  <c:v>5.029212658504461</c:v>
                </c:pt>
                <c:pt idx="84">
                  <c:v>5.2722986142282346</c:v>
                </c:pt>
                <c:pt idx="85">
                  <c:v>5.527134079444358</c:v>
                </c:pt>
                <c:pt idx="86">
                  <c:v>5.7942869642688102</c:v>
                </c:pt>
                <c:pt idx="87">
                  <c:v>6.0743526286358431</c:v>
                </c:pt>
                <c:pt idx="88">
                  <c:v>6.3679552090791711</c:v>
                </c:pt>
                <c:pt idx="89">
                  <c:v>6.6757490096430647</c:v>
                </c:pt>
                <c:pt idx="90">
                  <c:v>6.9984199600227397</c:v>
                </c:pt>
                <c:pt idx="91">
                  <c:v>7.3366871441836006</c:v>
                </c:pt>
                <c:pt idx="92">
                  <c:v>7.6913044028661037</c:v>
                </c:pt>
                <c:pt idx="93">
                  <c:v>8.0630620135472846</c:v>
                </c:pt>
                <c:pt idx="94">
                  <c:v>8.4527884516029097</c:v>
                </c:pt>
                <c:pt idx="95">
                  <c:v>8.8613522365949944</c:v>
                </c:pt>
                <c:pt idx="96">
                  <c:v>9.2896638677993781</c:v>
                </c:pt>
                <c:pt idx="97">
                  <c:v>9.7386778532863492</c:v>
                </c:pt>
                <c:pt idx="98">
                  <c:v>10.209394837076818</c:v>
                </c:pt>
                <c:pt idx="99">
                  <c:v>10.70286382911387</c:v>
                </c:pt>
                <c:pt idx="100">
                  <c:v>11.220184543019659</c:v>
                </c:pt>
                <c:pt idx="101">
                  <c:v>11.762509846847239</c:v>
                </c:pt>
                <c:pt idx="102">
                  <c:v>12.3310483322891</c:v>
                </c:pt>
                <c:pt idx="103">
                  <c:v>12.927067008067624</c:v>
                </c:pt>
                <c:pt idx="104">
                  <c:v>13.551894123510374</c:v>
                </c:pt>
                <c:pt idx="105">
                  <c:v>14.206922128601839</c:v>
                </c:pt>
                <c:pt idx="106">
                  <c:v>14.893610777109172</c:v>
                </c:pt>
                <c:pt idx="107">
                  <c:v>15.613490379696527</c:v>
                </c:pt>
                <c:pt idx="108">
                  <c:v>16.368165214278115</c:v>
                </c:pt>
                <c:pt idx="109">
                  <c:v>17.159317101209979</c:v>
                </c:pt>
                <c:pt idx="110">
                  <c:v>17.988709151287882</c:v>
                </c:pt>
                <c:pt idx="111">
                  <c:v>18.858189694904056</c:v>
                </c:pt>
                <c:pt idx="112">
                  <c:v>19.769696401118654</c:v>
                </c:pt>
                <c:pt idx="113">
                  <c:v>20.725260595825759</c:v>
                </c:pt>
                <c:pt idx="114">
                  <c:v>21.727011788637466</c:v>
                </c:pt>
                <c:pt idx="115">
                  <c:v>22.777182418573243</c:v>
                </c:pt>
                <c:pt idx="116">
                  <c:v>23.878112829131805</c:v>
                </c:pt>
                <c:pt idx="117">
                  <c:v>25.032256483831755</c:v>
                </c:pt>
                <c:pt idx="118">
                  <c:v>26.242185433844458</c:v>
                </c:pt>
                <c:pt idx="119">
                  <c:v>27.510596049903697</c:v>
                </c:pt>
                <c:pt idx="120">
                  <c:v>28.840315031266062</c:v>
                </c:pt>
                <c:pt idx="121">
                  <c:v>30.234305705113421</c:v>
                </c:pt>
                <c:pt idx="122">
                  <c:v>31.695674630434922</c:v>
                </c:pt>
                <c:pt idx="123">
                  <c:v>33.227678521107585</c:v>
                </c:pt>
                <c:pt idx="124">
                  <c:v>34.8337315036012</c:v>
                </c:pt>
                <c:pt idx="125">
                  <c:v>36.517412725483801</c:v>
                </c:pt>
                <c:pt idx="126">
                  <c:v>38.282474331682302</c:v>
                </c:pt>
                <c:pt idx="127">
                  <c:v>40.13284982627416</c:v>
                </c:pt>
                <c:pt idx="128">
                  <c:v>42.072662838444536</c:v>
                </c:pt>
                <c:pt idx="129">
                  <c:v>44.106236312143835</c:v>
                </c:pt>
                <c:pt idx="130">
                  <c:v>46.238102139926106</c:v>
                </c:pt>
                <c:pt idx="131">
                  <c:v>48.4730112624367</c:v>
                </c:pt>
                <c:pt idx="132">
                  <c:v>50.815944256056063</c:v>
                </c:pt>
                <c:pt idx="133">
                  <c:v>53.272122432296214</c:v>
                </c:pt>
                <c:pt idx="134">
                  <c:v>55.847019473683105</c:v>
                </c:pt>
                <c:pt idx="135">
                  <c:v>58.546373632057758</c:v>
                </c:pt>
                <c:pt idx="136">
                  <c:v>61.376200516479472</c:v>
                </c:pt>
                <c:pt idx="137">
                  <c:v>64.342806499229795</c:v>
                </c:pt>
                <c:pt idx="138">
                  <c:v>67.452802769792399</c:v>
                </c:pt>
                <c:pt idx="139">
                  <c:v>70.713120068130195</c:v>
                </c:pt>
                <c:pt idx="140">
                  <c:v>74.131024130091859</c:v>
                </c:pt>
                <c:pt idx="141">
                  <c:v>77.714131879368097</c:v>
                </c:pt>
                <c:pt idx="142">
                  <c:v>81.470428402083954</c:v>
                </c:pt>
                <c:pt idx="143">
                  <c:v>85.408284741854459</c:v>
                </c:pt>
                <c:pt idx="144">
                  <c:v>89.536476554959421</c:v>
                </c:pt>
                <c:pt idx="145">
                  <c:v>93.864203667213729</c:v>
                </c:pt>
                <c:pt idx="146">
                  <c:v>98.401110576113609</c:v>
                </c:pt>
                <c:pt idx="147">
                  <c:v>103.15730794395138</c:v>
                </c:pt>
                <c:pt idx="148">
                  <c:v>108.1433951297941</c:v>
                </c:pt>
                <c:pt idx="149">
                  <c:v>113.37048381054119</c:v>
                </c:pt>
                <c:pt idx="150">
                  <c:v>118.85022274370199</c:v>
                </c:pt>
                <c:pt idx="151">
                  <c:v>124.59482372707467</c:v>
                </c:pt>
                <c:pt idx="152">
                  <c:v>130.61708881318413</c:v>
                </c:pt>
                <c:pt idx="153">
                  <c:v>136.93043883912074</c:v>
                </c:pt>
                <c:pt idx="154">
                  <c:v>143.54894333536586</c:v>
                </c:pt>
                <c:pt idx="155">
                  <c:v>150.48735188025168</c:v>
                </c:pt>
                <c:pt idx="156">
                  <c:v>157.76112696993519</c:v>
                </c:pt>
                <c:pt idx="157">
                  <c:v>165.38647847713324</c:v>
                </c:pt>
                <c:pt idx="158">
                  <c:v>173.38039977541422</c:v>
                </c:pt>
                <c:pt idx="159">
                  <c:v>181.76070560955012</c:v>
                </c:pt>
                <c:pt idx="160">
                  <c:v>190.54607179632492</c:v>
                </c:pt>
                <c:pt idx="161">
                  <c:v>199.75607684427067</c:v>
                </c:pt>
                <c:pt idx="162">
                  <c:v>209.41124558508955</c:v>
                </c:pt>
                <c:pt idx="163">
                  <c:v>219.53309491398531</c:v>
                </c:pt>
                <c:pt idx="164">
                  <c:v>230.14418174085122</c:v>
                </c:pt>
                <c:pt idx="165">
                  <c:v>241.2681532591638</c:v>
                </c:pt>
                <c:pt idx="166">
                  <c:v>252.92979964461497</c:v>
                </c:pt>
                <c:pt idx="167">
                  <c:v>265.15510930092154</c:v>
                </c:pt>
                <c:pt idx="168">
                  <c:v>277.97132677592901</c:v>
                </c:pt>
                <c:pt idx="169">
                  <c:v>291.40701347708074</c:v>
                </c:pt>
                <c:pt idx="170">
                  <c:v>305.49211132155216</c:v>
                </c:pt>
                <c:pt idx="171">
                  <c:v>320.2580094629032</c:v>
                </c:pt>
                <c:pt idx="172">
                  <c:v>335.73761424295503</c:v>
                </c:pt>
                <c:pt idx="173">
                  <c:v>351.96542252476632</c:v>
                </c:pt>
                <c:pt idx="174">
                  <c:v>368.97759857015092</c:v>
                </c:pt>
                <c:pt idx="175">
                  <c:v>386.81205463305287</c:v>
                </c:pt>
                <c:pt idx="176">
                  <c:v>405.50853544838458</c:v>
                </c:pt>
                <c:pt idx="177">
                  <c:v>425.10870680461653</c:v>
                </c:pt>
                <c:pt idx="178">
                  <c:v>445.65624839750348</c:v>
                </c:pt>
                <c:pt idx="179">
                  <c:v>467.19695117188121</c:v>
                </c:pt>
                <c:pt idx="180">
                  <c:v>489.77881936844653</c:v>
                </c:pt>
                <c:pt idx="181">
                  <c:v>513.45217750296717</c:v>
                </c:pt>
                <c:pt idx="182">
                  <c:v>538.26978251628884</c:v>
                </c:pt>
                <c:pt idx="183">
                  <c:v>564.28694134510431</c:v>
                </c:pt>
                <c:pt idx="184">
                  <c:v>591.56163417547475</c:v>
                </c:pt>
                <c:pt idx="185">
                  <c:v>620.15464365378637</c:v>
                </c:pt>
                <c:pt idx="186">
                  <c:v>650.12969034309288</c:v>
                </c:pt>
                <c:pt idx="187">
                  <c:v>681.55357472670687</c:v>
                </c:pt>
                <c:pt idx="188">
                  <c:v>714.49632607551473</c:v>
                </c:pt>
                <c:pt idx="189">
                  <c:v>749.03135851075888</c:v>
                </c:pt>
                <c:pt idx="190">
                  <c:v>785.23563461007222</c:v>
                </c:pt>
                <c:pt idx="191">
                  <c:v>823.18983692139693</c:v>
                </c:pt>
                <c:pt idx="192">
                  <c:v>862.97854776697102</c:v>
                </c:pt>
                <c:pt idx="193">
                  <c:v>904.69043773812018</c:v>
                </c:pt>
                <c:pt idx="194">
                  <c:v>948.41846330089822</c:v>
                </c:pt>
                <c:pt idx="195">
                  <c:v>994.26007395295971</c:v>
                </c:pt>
                <c:pt idx="196">
                  <c:v>1042.3174293933057</c:v>
                </c:pt>
                <c:pt idx="197">
                  <c:v>1092.6976271889114</c:v>
                </c:pt>
                <c:pt idx="198">
                  <c:v>1145.5129414455375</c:v>
                </c:pt>
              </c:numCache>
            </c:numRef>
          </c:xVal>
          <c:yVal>
            <c:numRef>
              <c:f>BodI!$V$2:$V$200</c:f>
              <c:numCache>
                <c:formatCode>General</c:formatCode>
                <c:ptCount val="199"/>
                <c:pt idx="0">
                  <c:v>77.903921108832833</c:v>
                </c:pt>
                <c:pt idx="1">
                  <c:v>75.437500005399471</c:v>
                </c:pt>
                <c:pt idx="2">
                  <c:v>73.001790438723802</c:v>
                </c:pt>
                <c:pt idx="3">
                  <c:v>70.600973406561309</c:v>
                </c:pt>
                <c:pt idx="4">
                  <c:v>68.238998649695532</c:v>
                </c:pt>
                <c:pt idx="5">
                  <c:v>65.919561172532923</c:v>
                </c:pt>
                <c:pt idx="6">
                  <c:v>63.64608142629784</c:v>
                </c:pt>
                <c:pt idx="7">
                  <c:v>61.421689456945444</c:v>
                </c:pt>
                <c:pt idx="8">
                  <c:v>59.249213228295375</c:v>
                </c:pt>
                <c:pt idx="9">
                  <c:v>57.13117122553416</c:v>
                </c:pt>
                <c:pt idx="10">
                  <c:v>55.069769331328217</c:v>
                </c:pt>
                <c:pt idx="11">
                  <c:v>53.066901853352817</c:v>
                </c:pt>
                <c:pt idx="12">
                  <c:v>51.124156475054434</c:v>
                </c:pt>
                <c:pt idx="13">
                  <c:v>49.242822807135923</c:v>
                </c:pt>
                <c:pt idx="14">
                  <c:v>47.423904140402044</c:v>
                </c:pt>
                <c:pt idx="15">
                  <c:v>45.668131944343799</c:v>
                </c:pt>
                <c:pt idx="16">
                  <c:v>43.975982621466301</c:v>
                </c:pt>
                <c:pt idx="17">
                  <c:v>42.347696014472319</c:v>
                </c:pt>
                <c:pt idx="18">
                  <c:v>40.783295170197789</c:v>
                </c:pt>
                <c:pt idx="19">
                  <c:v>39.282606887786926</c:v>
                </c:pt>
                <c:pt idx="20">
                  <c:v>37.845282615526941</c:v>
                </c:pt>
                <c:pt idx="21">
                  <c:v>36.470819307285979</c:v>
                </c:pt>
                <c:pt idx="22">
                  <c:v>35.158579901981796</c:v>
                </c:pt>
                <c:pt idx="23">
                  <c:v>33.907813144614238</c:v>
                </c:pt>
                <c:pt idx="24">
                  <c:v>32.717672522299097</c:v>
                </c:pt>
                <c:pt idx="25">
                  <c:v>31.587234141178584</c:v>
                </c:pt>
                <c:pt idx="26">
                  <c:v>30.515513418380351</c:v>
                </c:pt>
                <c:pt idx="27">
                  <c:v>29.501480506242785</c:v>
                </c:pt>
                <c:pt idx="28">
                  <c:v>28.544074403182918</c:v>
                </c:pt>
                <c:pt idx="29">
                  <c:v>27.642215736643863</c:v>
                </c:pt>
                <c:pt idx="30">
                  <c:v>26.794818228613678</c:v>
                </c:pt>
                <c:pt idx="31">
                  <c:v>26.000798873589531</c:v>
                </c:pt>
                <c:pt idx="32">
                  <c:v>25.259086873047153</c:v>
                </c:pt>
                <c:pt idx="33">
                  <c:v>24.568631380047691</c:v>
                </c:pt>
                <c:pt idx="34">
                  <c:v>23.928408113171372</c:v>
                </c:pt>
                <c:pt idx="35">
                  <c:v>23.337424901126411</c:v>
                </c:pt>
                <c:pt idx="36">
                  <c:v>22.794726218718381</c:v>
                </c:pt>
                <c:pt idx="37">
                  <c:v>22.299396771914758</c:v>
                </c:pt>
                <c:pt idx="38">
                  <c:v>21.85056418498732</c:v>
                </c:pt>
                <c:pt idx="39">
                  <c:v>21.447400836579106</c:v>
                </c:pt>
                <c:pt idx="40">
                  <c:v>21.089124884404384</c:v>
                </c:pt>
                <c:pt idx="41">
                  <c:v>20.775000510465958</c:v>
                </c:pt>
                <c:pt idx="42">
                  <c:v>20.504337410459499</c:v>
                </c:pt>
                <c:pt idx="43">
                  <c:v>20.276489542680793</c:v>
                </c:pt>
                <c:pt idx="44">
                  <c:v>20.090853143510088</c:v>
                </c:pt>
                <c:pt idx="45">
                  <c:v>19.946864008646259</c:v>
                </c:pt>
                <c:pt idx="46">
                  <c:v>19.843994031956129</c:v>
                </c:pt>
                <c:pt idx="47">
                  <c:v>19.781746987346935</c:v>
                </c:pt>
                <c:pt idx="48">
                  <c:v>19.759653533755682</c:v>
                </c:pt>
                <c:pt idx="49">
                  <c:v>19.77726541950895</c:v>
                </c:pt>
                <c:pt idx="50">
                  <c:v>19.834148860312524</c:v>
                </c:pt>
                <c:pt idx="51">
                  <c:v>19.929877065404554</c:v>
                </c:pt>
                <c:pt idx="52">
                  <c:v>20.064021889422321</c:v>
                </c:pt>
                <c:pt idx="53">
                  <c:v>20.236144593806813</c:v>
                </c:pt>
                <c:pt idx="54">
                  <c:v>20.445785711644874</c:v>
                </c:pt>
                <c:pt idx="55">
                  <c:v>20.692454024283165</c:v>
                </c:pt>
                <c:pt idx="56">
                  <c:v>20.975614677371368</c:v>
                </c:pt>
                <c:pt idx="57">
                  <c:v>21.294676488665431</c:v>
                </c:pt>
                <c:pt idx="58">
                  <c:v>21.648978530278839</c:v>
                </c:pt>
                <c:pt idx="59">
                  <c:v>22.037776104243846</c:v>
                </c:pt>
                <c:pt idx="60">
                  <c:v>22.460226272080007</c:v>
                </c:pt>
                <c:pt idx="61">
                  <c:v>22.915373146036643</c:v>
                </c:pt>
                <c:pt idx="62">
                  <c:v>23.402133200769271</c:v>
                </c:pt>
                <c:pt idx="63">
                  <c:v>23.919280917868775</c:v>
                </c:pt>
                <c:pt idx="64">
                  <c:v>24.465435129695237</c:v>
                </c:pt>
                <c:pt idx="65">
                  <c:v>25.039046480544158</c:v>
                </c:pt>
                <c:pt idx="66">
                  <c:v>25.638386468835847</c:v>
                </c:pt>
                <c:pt idx="67">
                  <c:v>26.261538569808465</c:v>
                </c:pt>
                <c:pt idx="68">
                  <c:v>26.906391959832746</c:v>
                </c:pt>
                <c:pt idx="69">
                  <c:v>27.570638366649007</c:v>
                </c:pt>
                <c:pt idx="70">
                  <c:v>28.25177255061763</c:v>
                </c:pt>
                <c:pt idx="71">
                  <c:v>28.947096877335241</c:v>
                </c:pt>
                <c:pt idx="72">
                  <c:v>29.653730369869038</c:v>
                </c:pt>
                <c:pt idx="73">
                  <c:v>30.368622529302314</c:v>
                </c:pt>
                <c:pt idx="74">
                  <c:v>31.08857208728017</c:v>
                </c:pt>
                <c:pt idx="75">
                  <c:v>31.810250708088972</c:v>
                </c:pt>
                <c:pt idx="76">
                  <c:v>32.530231497031878</c:v>
                </c:pt>
                <c:pt idx="77">
                  <c:v>33.245022004920486</c:v>
                </c:pt>
                <c:pt idx="78">
                  <c:v>33.951101255124769</c:v>
                </c:pt>
                <c:pt idx="79">
                  <c:v>34.644960170015395</c:v>
                </c:pt>
                <c:pt idx="80">
                  <c:v>35.323144647439761</c:v>
                </c:pt>
                <c:pt idx="81">
                  <c:v>35.98230044319854</c:v>
                </c:pt>
                <c:pt idx="82">
                  <c:v>36.619218957966865</c:v>
                </c:pt>
                <c:pt idx="83">
                  <c:v>37.230883009294615</c:v>
                </c:pt>
                <c:pt idx="84">
                  <c:v>37.814511690418158</c:v>
                </c:pt>
                <c:pt idx="85">
                  <c:v>38.367603473630254</c:v>
                </c:pt>
                <c:pt idx="86">
                  <c:v>38.887976800240978</c:v>
                </c:pt>
                <c:pt idx="87">
                  <c:v>39.373807503328493</c:v>
                </c:pt>
                <c:pt idx="88">
                  <c:v>39.823662524448764</c:v>
                </c:pt>
                <c:pt idx="89">
                  <c:v>40.23652950263002</c:v>
                </c:pt>
                <c:pt idx="90">
                  <c:v>40.611841926157069</c:v>
                </c:pt>
                <c:pt idx="91">
                  <c:v>40.949499639936363</c:v>
                </c:pt>
                <c:pt idx="92">
                  <c:v>41.249884591362331</c:v>
                </c:pt>
                <c:pt idx="93">
                  <c:v>41.513871776066907</c:v>
                </c:pt>
                <c:pt idx="94">
                  <c:v>41.742835414635323</c:v>
                </c:pt>
                <c:pt idx="95">
                  <c:v>41.938650457042911</c:v>
                </c:pt>
                <c:pt idx="96">
                  <c:v>42.103689578917255</c:v>
                </c:pt>
                <c:pt idx="97">
                  <c:v>42.240815908472399</c:v>
                </c:pt>
                <c:pt idx="98">
                  <c:v>42.353371809864456</c:v>
                </c:pt>
                <c:pt idx="99">
                  <c:v>42.445164150732467</c:v>
                </c:pt>
                <c:pt idx="100">
                  <c:v>42.520446599329773</c:v>
                </c:pt>
                <c:pt idx="101">
                  <c:v>42.583899627641273</c:v>
                </c:pt>
                <c:pt idx="102">
                  <c:v>42.640609036187612</c:v>
                </c:pt>
                <c:pt idx="103">
                  <c:v>42.696043956380777</c:v>
                </c:pt>
                <c:pt idx="104">
                  <c:v>42.756035418132853</c:v>
                </c:pt>
                <c:pt idx="105">
                  <c:v>42.82675668384968</c:v>
                </c:pt>
                <c:pt idx="106">
                  <c:v>42.914706634920378</c:v>
                </c:pt>
                <c:pt idx="107">
                  <c:v>43.026697544084328</c:v>
                </c:pt>
                <c:pt idx="108">
                  <c:v>43.169848568604834</c:v>
                </c:pt>
                <c:pt idx="109">
                  <c:v>43.351586248148067</c:v>
                </c:pt>
                <c:pt idx="110">
                  <c:v>43.579653181230242</c:v>
                </c:pt>
                <c:pt idx="111">
                  <c:v>43.862125877544486</c:v>
                </c:pt>
                <c:pt idx="112">
                  <c:v>44.207442529481597</c:v>
                </c:pt>
                <c:pt idx="113">
                  <c:v>44.62444109712618</c:v>
                </c:pt>
                <c:pt idx="114">
                  <c:v>45.122407628630839</c:v>
                </c:pt>
                <c:pt idx="115">
                  <c:v>45.711134098163996</c:v>
                </c:pt>
                <c:pt idx="116">
                  <c:v>46.400984171371022</c:v>
                </c:pt>
                <c:pt idx="117">
                  <c:v>47.202964111197048</c:v>
                </c:pt>
                <c:pt idx="118">
                  <c:v>48.128794390689222</c:v>
                </c:pt>
                <c:pt idx="119">
                  <c:v>49.190975325913996</c:v>
                </c:pt>
                <c:pt idx="120">
                  <c:v>50.402836995459779</c:v>
                </c:pt>
                <c:pt idx="121">
                  <c:v>51.778559681555265</c:v>
                </c:pt>
                <c:pt idx="122">
                  <c:v>53.333145906948943</c:v>
                </c:pt>
                <c:pt idx="123">
                  <c:v>55.082318858532375</c:v>
                </c:pt>
                <c:pt idx="124">
                  <c:v>57.04231492900216</c:v>
                </c:pt>
                <c:pt idx="125">
                  <c:v>59.229531255116925</c:v>
                </c:pt>
                <c:pt idx="126">
                  <c:v>61.659984527304388</c:v>
                </c:pt>
                <c:pt idx="127">
                  <c:v>64.348538572158361</c:v>
                </c:pt>
                <c:pt idx="128">
                  <c:v>67.307870706997292</c:v>
                </c:pt>
                <c:pt idx="129">
                  <c:v>70.547177593908231</c:v>
                </c:pt>
                <c:pt idx="130">
                  <c:v>74.070676945454565</c:v>
                </c:pt>
                <c:pt idx="131">
                  <c:v>77.876044156232197</c:v>
                </c:pt>
                <c:pt idx="132">
                  <c:v>81.953023893376454</c:v>
                </c:pt>
                <c:pt idx="133">
                  <c:v>86.282549275673844</c:v>
                </c:pt>
                <c:pt idx="134">
                  <c:v>90.836740442386642</c:v>
                </c:pt>
                <c:pt idx="135">
                  <c:v>95.580089741476186</c:v>
                </c:pt>
                <c:pt idx="136">
                  <c:v>100.47194654053878</c:v>
                </c:pt>
                <c:pt idx="137">
                  <c:v>105.47012247746714</c:v>
                </c:pt>
                <c:pt idx="138">
                  <c:v>110.53514560462925</c:v>
                </c:pt>
                <c:pt idx="139">
                  <c:v>115.63452493620949</c:v>
                </c:pt>
                <c:pt idx="140">
                  <c:v>120.74642792155896</c:v>
                </c:pt>
                <c:pt idx="141">
                  <c:v>125.86240931993805</c:v>
                </c:pt>
                <c:pt idx="142">
                  <c:v>130.98916192875839</c:v>
                </c:pt>
                <c:pt idx="143">
                  <c:v>136.14956632745611</c:v>
                </c:pt>
                <c:pt idx="144">
                  <c:v>141.38352013483669</c:v>
                </c:pt>
                <c:pt idx="145">
                  <c:v>146.74911555551796</c:v>
                </c:pt>
                <c:pt idx="146">
                  <c:v>152.32473866613574</c:v>
                </c:pt>
                <c:pt idx="147">
                  <c:v>-21.787388841400656</c:v>
                </c:pt>
                <c:pt idx="148">
                  <c:v>-15.455856208361126</c:v>
                </c:pt>
                <c:pt idx="149">
                  <c:v>-8.5129883428856772</c:v>
                </c:pt>
                <c:pt idx="150">
                  <c:v>-0.74748429561091712</c:v>
                </c:pt>
                <c:pt idx="151">
                  <c:v>8.0982615219085687</c:v>
                </c:pt>
                <c:pt idx="152">
                  <c:v>18.313297808086531</c:v>
                </c:pt>
                <c:pt idx="153">
                  <c:v>30.159978745493646</c:v>
                </c:pt>
                <c:pt idx="154">
                  <c:v>43.741590267405371</c:v>
                </c:pt>
                <c:pt idx="155">
                  <c:v>58.81341486761356</c:v>
                </c:pt>
                <c:pt idx="156">
                  <c:v>74.693294863161185</c:v>
                </c:pt>
                <c:pt idx="157">
                  <c:v>90.482639634321444</c:v>
                </c:pt>
                <c:pt idx="158">
                  <c:v>105.50461649661339</c:v>
                </c:pt>
                <c:pt idx="159">
                  <c:v>119.57033130133706</c:v>
                </c:pt>
                <c:pt idx="160">
                  <c:v>132.93610191519559</c:v>
                </c:pt>
                <c:pt idx="161">
                  <c:v>146.15457197487385</c:v>
                </c:pt>
                <c:pt idx="162">
                  <c:v>-20.000207331121572</c:v>
                </c:pt>
                <c:pt idx="163">
                  <c:v>-4.5075327768979037</c:v>
                </c:pt>
                <c:pt idx="164">
                  <c:v>13.915421814797952</c:v>
                </c:pt>
                <c:pt idx="165">
                  <c:v>36.423978837228248</c:v>
                </c:pt>
                <c:pt idx="166">
                  <c:v>62.610562418837375</c:v>
                </c:pt>
                <c:pt idx="167">
                  <c:v>89.366658668019042</c:v>
                </c:pt>
                <c:pt idx="168">
                  <c:v>113.57132937414492</c:v>
                </c:pt>
                <c:pt idx="169">
                  <c:v>135.02928924112845</c:v>
                </c:pt>
                <c:pt idx="170">
                  <c:v>-24.349828475141891</c:v>
                </c:pt>
                <c:pt idx="171">
                  <c:v>-1.6901239625291282</c:v>
                </c:pt>
                <c:pt idx="172">
                  <c:v>26.616967778348908</c:v>
                </c:pt>
                <c:pt idx="173">
                  <c:v>62.338554937875656</c:v>
                </c:pt>
                <c:pt idx="174">
                  <c:v>99.225139337012166</c:v>
                </c:pt>
                <c:pt idx="175">
                  <c:v>130.42515130745366</c:v>
                </c:pt>
                <c:pt idx="176">
                  <c:v>-21.850136525743181</c:v>
                </c:pt>
                <c:pt idx="177">
                  <c:v>8.900662963159732</c:v>
                </c:pt>
                <c:pt idx="178">
                  <c:v>50.109503994920885</c:v>
                </c:pt>
                <c:pt idx="179">
                  <c:v>97.811154613922383</c:v>
                </c:pt>
                <c:pt idx="180">
                  <c:v>137.223016899573</c:v>
                </c:pt>
                <c:pt idx="181">
                  <c:v>-7.9216041800286519</c:v>
                </c:pt>
                <c:pt idx="182">
                  <c:v>35.833837490554231</c:v>
                </c:pt>
                <c:pt idx="183">
                  <c:v>93.414340378207285</c:v>
                </c:pt>
                <c:pt idx="184">
                  <c:v>141.5981223592371</c:v>
                </c:pt>
                <c:pt idx="185">
                  <c:v>4.0592338598877404</c:v>
                </c:pt>
                <c:pt idx="186">
                  <c:v>62.977248920693015</c:v>
                </c:pt>
                <c:pt idx="187">
                  <c:v>127.00684825598096</c:v>
                </c:pt>
                <c:pt idx="188">
                  <c:v>-3.725069145506211</c:v>
                </c:pt>
                <c:pt idx="189">
                  <c:v>61.138018158009871</c:v>
                </c:pt>
                <c:pt idx="190">
                  <c:v>133.74675099268396</c:v>
                </c:pt>
                <c:pt idx="191">
                  <c:v>10.592342063457608</c:v>
                </c:pt>
                <c:pt idx="192">
                  <c:v>92.633771189743626</c:v>
                </c:pt>
                <c:pt idx="193">
                  <c:v>-16.979674440355211</c:v>
                </c:pt>
                <c:pt idx="194">
                  <c:v>60.065571392425284</c:v>
                </c:pt>
                <c:pt idx="195">
                  <c:v>148.13778910364104</c:v>
                </c:pt>
                <c:pt idx="196">
                  <c:v>46.583918293271267</c:v>
                </c:pt>
                <c:pt idx="197">
                  <c:v>145.79650376517867</c:v>
                </c:pt>
                <c:pt idx="198">
                  <c:v>53.093708066271418</c:v>
                </c:pt>
              </c:numCache>
            </c:numRef>
          </c:yVal>
          <c:smooth val="1"/>
          <c:extLst>
            <c:ext xmlns:c16="http://schemas.microsoft.com/office/drawing/2014/chart" uri="{C3380CC4-5D6E-409C-BE32-E72D297353CC}">
              <c16:uniqueId val="{00000001-DDDF-40AF-B3DF-65E87BD69A95}"/>
            </c:ext>
          </c:extLst>
        </c:ser>
        <c:ser>
          <c:idx val="2"/>
          <c:order val="2"/>
          <c:tx>
            <c:v>fc</c:v>
          </c:tx>
          <c:spPr>
            <a:ln w="25400">
              <a:solidFill>
                <a:srgbClr val="008000"/>
              </a:solidFill>
              <a:prstDash val="solid"/>
            </a:ln>
          </c:spPr>
          <c:marker>
            <c:symbol val="none"/>
          </c:marker>
          <c:xVal>
            <c:numRef>
              <c:f>BodI!$P$32:$P$33</c:f>
              <c:numCache>
                <c:formatCode>General</c:formatCode>
                <c:ptCount val="2"/>
                <c:pt idx="0">
                  <c:v>18.858189694904056</c:v>
                </c:pt>
                <c:pt idx="1">
                  <c:v>18.858189694904056</c:v>
                </c:pt>
              </c:numCache>
            </c:numRef>
          </c:xVal>
          <c:yVal>
            <c:numLit>
              <c:formatCode>General</c:formatCode>
              <c:ptCount val="2"/>
              <c:pt idx="0">
                <c:v>-180</c:v>
              </c:pt>
              <c:pt idx="1">
                <c:v>180</c:v>
              </c:pt>
            </c:numLit>
          </c:yVal>
          <c:smooth val="1"/>
          <c:extLst>
            <c:ext xmlns:c16="http://schemas.microsoft.com/office/drawing/2014/chart" uri="{C3380CC4-5D6E-409C-BE32-E72D297353CC}">
              <c16:uniqueId val="{00000002-DDDF-40AF-B3DF-65E87BD69A95}"/>
            </c:ext>
          </c:extLst>
        </c:ser>
        <c:ser>
          <c:idx val="3"/>
          <c:order val="3"/>
          <c:tx>
            <c:v>fsw/2</c:v>
          </c:tx>
          <c:spPr>
            <a:ln w="12700">
              <a:solidFill>
                <a:srgbClr val="FF0000"/>
              </a:solidFill>
              <a:prstDash val="sysDash"/>
            </a:ln>
          </c:spPr>
          <c:marker>
            <c:symbol val="none"/>
          </c:marker>
          <c:xVal>
            <c:numRef>
              <c:f>PS!$B$84:$B$85</c:f>
              <c:numCache>
                <c:formatCode>General</c:formatCode>
                <c:ptCount val="2"/>
                <c:pt idx="0">
                  <c:v>50.177682572292795</c:v>
                </c:pt>
                <c:pt idx="1">
                  <c:v>50.177682572292795</c:v>
                </c:pt>
              </c:numCache>
            </c:numRef>
          </c:xVal>
          <c:yVal>
            <c:numLit>
              <c:formatCode>General</c:formatCode>
              <c:ptCount val="2"/>
              <c:pt idx="0">
                <c:v>-180</c:v>
              </c:pt>
              <c:pt idx="1">
                <c:v>180</c:v>
              </c:pt>
            </c:numLit>
          </c:yVal>
          <c:smooth val="0"/>
          <c:extLst>
            <c:ext xmlns:c16="http://schemas.microsoft.com/office/drawing/2014/chart" uri="{C3380CC4-5D6E-409C-BE32-E72D297353CC}">
              <c16:uniqueId val="{00000003-DDDF-40AF-B3DF-65E87BD69A95}"/>
            </c:ext>
          </c:extLst>
        </c:ser>
        <c:dLbls>
          <c:showLegendKey val="0"/>
          <c:showVal val="0"/>
          <c:showCatName val="0"/>
          <c:showSerName val="0"/>
          <c:showPercent val="0"/>
          <c:showBubbleSize val="0"/>
        </c:dLbls>
        <c:axId val="3"/>
        <c:axId val="4"/>
      </c:scatterChart>
      <c:valAx>
        <c:axId val="1183291567"/>
        <c:scaling>
          <c:logBase val="10"/>
          <c:orientation val="minMax"/>
          <c:max val="1000"/>
          <c:min val="1"/>
        </c:scaling>
        <c:delete val="0"/>
        <c:axPos val="b"/>
        <c:majorGridlines>
          <c:spPr>
            <a:ln w="3175">
              <a:solidFill>
                <a:srgbClr val="000000"/>
              </a:solidFill>
              <a:prstDash val="solid"/>
            </a:ln>
          </c:spPr>
        </c:majorGridlines>
        <c:minorGridlines>
          <c:spPr>
            <a:ln w="3175">
              <a:solidFill>
                <a:srgbClr val="000000"/>
              </a:solidFill>
              <a:prstDash val="sysDash"/>
            </a:ln>
          </c:spPr>
        </c:minorGridlines>
        <c:title>
          <c:tx>
            <c:rich>
              <a:bodyPr/>
              <a:lstStyle/>
              <a:p>
                <a:pPr>
                  <a:defRPr sz="800" b="1" i="0" u="none" strike="noStrike" baseline="0">
                    <a:solidFill>
                      <a:srgbClr val="000000"/>
                    </a:solidFill>
                    <a:latin typeface="Arial"/>
                    <a:ea typeface="Arial"/>
                    <a:cs typeface="Arial"/>
                  </a:defRPr>
                </a:pPr>
                <a:r>
                  <a:rPr lang="it-IT"/>
                  <a:t>Frequency(kHz)</a:t>
                </a:r>
              </a:p>
            </c:rich>
          </c:tx>
          <c:layout>
            <c:manualLayout>
              <c:xMode val="edge"/>
              <c:yMode val="edge"/>
              <c:x val="0.42576362873850826"/>
              <c:y val="0.81281480058895073"/>
            </c:manualLayout>
          </c:layout>
          <c:overlay val="0"/>
          <c:spPr>
            <a:noFill/>
            <a:ln w="25400">
              <a:noFill/>
            </a:ln>
          </c:spPr>
        </c:title>
        <c:numFmt formatCode="General" sourceLinked="0"/>
        <c:majorTickMark val="out"/>
        <c:minorTickMark val="none"/>
        <c:tickLblPos val="low"/>
        <c:spPr>
          <a:ln w="12700">
            <a:solidFill>
              <a:srgbClr val="FF0000"/>
            </a:solidFill>
            <a:prstDash val="solid"/>
          </a:ln>
        </c:spPr>
        <c:txPr>
          <a:bodyPr rot="0" vert="horz"/>
          <a:lstStyle/>
          <a:p>
            <a:pPr>
              <a:defRPr sz="800" b="0" i="0" u="none" strike="noStrike" baseline="0">
                <a:solidFill>
                  <a:srgbClr val="000000"/>
                </a:solidFill>
                <a:latin typeface="Arial"/>
                <a:ea typeface="Arial"/>
                <a:cs typeface="Arial"/>
              </a:defRPr>
            </a:pPr>
            <a:endParaRPr lang="it-IT"/>
          </a:p>
        </c:txPr>
        <c:crossAx val="1"/>
        <c:crosses val="autoZero"/>
        <c:crossBetween val="midCat"/>
      </c:valAx>
      <c:valAx>
        <c:axId val="1"/>
        <c:scaling>
          <c:orientation val="minMax"/>
          <c:max val="60"/>
          <c:min val="-60"/>
        </c:scaling>
        <c:delete val="0"/>
        <c:axPos val="l"/>
        <c:majorGridlines>
          <c:spPr>
            <a:ln w="12700">
              <a:solidFill>
                <a:srgbClr val="000000"/>
              </a:solidFill>
              <a:prstDash val="sysDash"/>
            </a:ln>
          </c:spPr>
        </c:majorGridlines>
        <c:title>
          <c:tx>
            <c:rich>
              <a:bodyPr/>
              <a:lstStyle/>
              <a:p>
                <a:pPr>
                  <a:defRPr sz="800" b="1" i="0" u="none" strike="noStrike" baseline="0">
                    <a:solidFill>
                      <a:srgbClr val="333399"/>
                    </a:solidFill>
                    <a:latin typeface="Arial"/>
                    <a:ea typeface="Arial"/>
                    <a:cs typeface="Arial"/>
                  </a:defRPr>
                </a:pPr>
                <a:r>
                  <a:rPr lang="it-IT"/>
                  <a:t>Magnitude(dB)</a:t>
                </a:r>
              </a:p>
            </c:rich>
          </c:tx>
          <c:layout>
            <c:manualLayout>
              <c:xMode val="edge"/>
              <c:yMode val="edge"/>
              <c:x val="3.4132986518516421E-2"/>
              <c:y val="0.21539594136098841"/>
            </c:manualLayout>
          </c:layout>
          <c:overlay val="0"/>
          <c:spPr>
            <a:noFill/>
            <a:ln w="25400">
              <a:noFill/>
            </a:ln>
          </c:spPr>
        </c:title>
        <c:numFmt formatCode="General" sourceLinked="1"/>
        <c:majorTickMark val="none"/>
        <c:minorTickMark val="none"/>
        <c:tickLblPos val="low"/>
        <c:spPr>
          <a:ln w="3175">
            <a:solidFill>
              <a:srgbClr val="000000"/>
            </a:solidFill>
            <a:prstDash val="solid"/>
          </a:ln>
        </c:spPr>
        <c:txPr>
          <a:bodyPr rot="0" vert="horz"/>
          <a:lstStyle/>
          <a:p>
            <a:pPr>
              <a:defRPr sz="800" b="0" i="0" u="none" strike="noStrike" baseline="0">
                <a:solidFill>
                  <a:srgbClr val="333399"/>
                </a:solidFill>
                <a:latin typeface="Arial"/>
                <a:ea typeface="Arial"/>
                <a:cs typeface="Arial"/>
              </a:defRPr>
            </a:pPr>
            <a:endParaRPr lang="it-IT"/>
          </a:p>
        </c:txPr>
        <c:crossAx val="1183291567"/>
        <c:crosses val="autoZero"/>
        <c:crossBetween val="midCat"/>
        <c:majorUnit val="20"/>
      </c:valAx>
      <c:valAx>
        <c:axId val="3"/>
        <c:scaling>
          <c:logBase val="10"/>
          <c:orientation val="minMax"/>
        </c:scaling>
        <c:delete val="1"/>
        <c:axPos val="b"/>
        <c:numFmt formatCode="General" sourceLinked="1"/>
        <c:majorTickMark val="out"/>
        <c:minorTickMark val="none"/>
        <c:tickLblPos val="nextTo"/>
        <c:crossAx val="4"/>
        <c:crosses val="autoZero"/>
        <c:crossBetween val="midCat"/>
      </c:valAx>
      <c:valAx>
        <c:axId val="4"/>
        <c:scaling>
          <c:orientation val="minMax"/>
          <c:max val="180"/>
          <c:min val="-180"/>
        </c:scaling>
        <c:delete val="0"/>
        <c:axPos val="r"/>
        <c:title>
          <c:tx>
            <c:rich>
              <a:bodyPr/>
              <a:lstStyle/>
              <a:p>
                <a:pPr>
                  <a:defRPr sz="800" b="1" i="0" u="none" strike="noStrike" baseline="0">
                    <a:solidFill>
                      <a:srgbClr val="FF00FF"/>
                    </a:solidFill>
                    <a:latin typeface="Arial"/>
                    <a:ea typeface="Arial"/>
                    <a:cs typeface="Arial"/>
                  </a:defRPr>
                </a:pPr>
                <a:r>
                  <a:rPr lang="it-IT"/>
                  <a:t>Phase(degree)</a:t>
                </a:r>
              </a:p>
            </c:rich>
          </c:tx>
          <c:layout>
            <c:manualLayout>
              <c:xMode val="edge"/>
              <c:yMode val="edge"/>
              <c:x val="0.91260718981042999"/>
              <c:y val="0.19913961974265409"/>
            </c:manualLayout>
          </c:layout>
          <c:overlay val="0"/>
          <c:spPr>
            <a:noFill/>
            <a:ln w="25400">
              <a:noFill/>
            </a:ln>
          </c:spPr>
        </c:title>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FF00FF"/>
                </a:solidFill>
                <a:latin typeface="Arial"/>
                <a:ea typeface="Arial"/>
                <a:cs typeface="Arial"/>
              </a:defRPr>
            </a:pPr>
            <a:endParaRPr lang="it-IT"/>
          </a:p>
        </c:txPr>
        <c:crossAx val="3"/>
        <c:crosses val="max"/>
        <c:crossBetween val="midCat"/>
        <c:majorUnit val="60"/>
      </c:valAx>
      <c:spPr>
        <a:noFill/>
        <a:ln w="12700">
          <a:solidFill>
            <a:srgbClr val="808080"/>
          </a:solidFill>
          <a:prstDash val="solid"/>
        </a:ln>
      </c:spPr>
    </c:plotArea>
    <c:legend>
      <c:legendPos val="r"/>
      <c:layout>
        <c:manualLayout>
          <c:xMode val="edge"/>
          <c:yMode val="edge"/>
          <c:x val="0.23185103799726295"/>
          <c:y val="0.9026284366030507"/>
          <c:w val="0.56286727899335531"/>
          <c:h val="6.8184162477208876E-2"/>
        </c:manualLayout>
      </c:layout>
      <c:overlay val="0"/>
      <c:spPr>
        <a:noFill/>
        <a:ln w="25400">
          <a:noFill/>
        </a:ln>
      </c:spPr>
      <c:txPr>
        <a:bodyPr/>
        <a:lstStyle/>
        <a:p>
          <a:pPr>
            <a:defRPr sz="675" b="1"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it-IT"/>
    </a:p>
  </c:txPr>
  <c:printSettings>
    <c:headerFooter alignWithMargins="0"/>
    <c:pageMargins b="1" l="0.75" r="0.75" t="1" header="0.5" footer="0.5"/>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713894588809078"/>
          <c:y val="0.10460251046025104"/>
          <c:w val="0.78278565426803515"/>
          <c:h val="0.53556485355648531"/>
        </c:manualLayout>
      </c:layout>
      <c:scatterChart>
        <c:scatterStyle val="lineMarker"/>
        <c:varyColors val="0"/>
        <c:ser>
          <c:idx val="0"/>
          <c:order val="0"/>
          <c:tx>
            <c:v>Magnitude</c:v>
          </c:tx>
          <c:spPr>
            <a:ln w="25400">
              <a:solidFill>
                <a:srgbClr val="000080"/>
              </a:solidFill>
              <a:prstDash val="solid"/>
            </a:ln>
          </c:spPr>
          <c:marker>
            <c:symbol val="none"/>
          </c:marker>
          <c:xVal>
            <c:numRef>
              <c:f>BodI!$B$2:$B$200</c:f>
              <c:numCache>
                <c:formatCode>General</c:formatCode>
                <c:ptCount val="199"/>
                <c:pt idx="0">
                  <c:v>0.1</c:v>
                </c:pt>
                <c:pt idx="1">
                  <c:v>0.10483347935810021</c:v>
                </c:pt>
                <c:pt idx="2">
                  <c:v>0.10990058394325208</c:v>
                </c:pt>
                <c:pt idx="3">
                  <c:v>0.11521260598258083</c:v>
                </c:pt>
                <c:pt idx="4">
                  <c:v>0.12078138351067803</c:v>
                </c:pt>
                <c:pt idx="5">
                  <c:v>0.12661932675109447</c:v>
                </c:pt>
                <c:pt idx="6">
                  <c:v>0.13273944577297414</c:v>
                </c:pt>
                <c:pt idx="7">
                  <c:v>0.1391553794844673</c:v>
                </c:pt>
                <c:pt idx="8">
                  <c:v>0.14588142602753496</c:v>
                </c:pt>
                <c:pt idx="9">
                  <c:v>0.1529325746418779</c:v>
                </c:pt>
                <c:pt idx="10">
                  <c:v>0.16032453906900421</c:v>
                </c:pt>
                <c:pt idx="11">
                  <c:v>0.16807379257087374</c:v>
                </c:pt>
                <c:pt idx="12">
                  <c:v>0.17619760464116302</c:v>
                </c:pt>
                <c:pt idx="13">
                  <c:v>0.18471407949096058</c:v>
                </c:pt>
                <c:pt idx="14">
                  <c:v>0.19364219639466071</c:v>
                </c:pt>
                <c:pt idx="15">
                  <c:v>0.20300185198596862</c:v>
                </c:pt>
                <c:pt idx="16">
                  <c:v>0.21281390459827129</c:v>
                </c:pt>
                <c:pt idx="17">
                  <c:v>0.22310022074819569</c:v>
                </c:pt>
                <c:pt idx="18">
                  <c:v>0.23388372386593542</c:v>
                </c:pt>
                <c:pt idx="19">
                  <c:v>0.24518844538095164</c:v>
                </c:pt>
                <c:pt idx="20">
                  <c:v>0.25703957827688662</c:v>
                </c:pt>
                <c:pt idx="21">
                  <c:v>0.2694635332350474</c:v>
                </c:pt>
                <c:pt idx="22">
                  <c:v>0.28248799749157083</c:v>
                </c:pt>
                <c:pt idx="23">
                  <c:v>0.29614199653943613</c:v>
                </c:pt>
                <c:pt idx="24">
                  <c:v>0.31045595881283577</c:v>
                </c:pt>
                <c:pt idx="25">
                  <c:v>0.32546178349804616</c:v>
                </c:pt>
                <c:pt idx="26">
                  <c:v>0.34119291162192861</c:v>
                </c:pt>
                <c:pt idx="27">
                  <c:v>0.35768440057647577</c:v>
                </c:pt>
                <c:pt idx="28">
                  <c:v>0.37497300224548369</c:v>
                </c:pt>
                <c:pt idx="29">
                  <c:v>0.39309724490746761</c:v>
                </c:pt>
                <c:pt idx="30">
                  <c:v>0.4120975190973305</c:v>
                </c:pt>
                <c:pt idx="31">
                  <c:v>0.43201616761814249</c:v>
                </c:pt>
                <c:pt idx="32">
                  <c:v>0.45289757990362123</c:v>
                </c:pt>
                <c:pt idx="33">
                  <c:v>0.47478829094159758</c:v>
                </c:pt>
                <c:pt idx="34">
                  <c:v>0.49773708497893626</c:v>
                </c:pt>
                <c:pt idx="35">
                  <c:v>0.5217951042390031</c:v>
                </c:pt>
                <c:pt idx="36">
                  <c:v>0.54701596289397203</c:v>
                </c:pt>
                <c:pt idx="37">
                  <c:v>0.57345586654596503</c:v>
                </c:pt>
                <c:pt idx="38">
                  <c:v>0.60117373748327818</c:v>
                </c:pt>
                <c:pt idx="39">
                  <c:v>0.63023134599085173</c:v>
                </c:pt>
                <c:pt idx="40">
                  <c:v>0.660693448007597</c:v>
                </c:pt>
                <c:pt idx="41">
                  <c:v>0.69262792943736384</c:v>
                </c:pt>
                <c:pt idx="42">
                  <c:v>0.72610595743515483</c:v>
                </c:pt>
                <c:pt idx="43">
                  <c:v>0.76120213900571854</c:v>
                </c:pt>
                <c:pt idx="44">
                  <c:v>0.79799468726797762</c:v>
                </c:pt>
                <c:pt idx="45">
                  <c:v>0.83656559575581046</c:v>
                </c:pt>
                <c:pt idx="46">
                  <c:v>0.87700082114363531</c:v>
                </c:pt>
                <c:pt idx="47">
                  <c:v>0.91939047480398106</c:v>
                </c:pt>
                <c:pt idx="48">
                  <c:v>0.96382902362397149</c:v>
                </c:pt>
                <c:pt idx="49">
                  <c:v>1.0104155005282145</c:v>
                </c:pt>
                <c:pt idx="50">
                  <c:v>1.0592537251772904</c:v>
                </c:pt>
                <c:pt idx="51">
                  <c:v>1.1104525353336407</c:v>
                </c:pt>
                <c:pt idx="52">
                  <c:v>1.164126029410492</c:v>
                </c:pt>
                <c:pt idx="53">
                  <c:v>1.2203938207443192</c:v>
                </c:pt>
                <c:pt idx="54">
                  <c:v>1.2793813041575262</c:v>
                </c:pt>
                <c:pt idx="55">
                  <c:v>1.3412199354053715</c:v>
                </c:pt>
                <c:pt idx="56">
                  <c:v>1.4060475241299157</c:v>
                </c:pt>
                <c:pt idx="57">
                  <c:v>1.4740085409738124</c:v>
                </c:pt>
                <c:pt idx="58">
                  <c:v>1.5452544395384149</c:v>
                </c:pt>
                <c:pt idx="59">
                  <c:v>1.6199439939036309</c:v>
                </c:pt>
                <c:pt idx="60">
                  <c:v>1.6982436524617446</c:v>
                </c:pt>
                <c:pt idx="61">
                  <c:v>1.7803279088537294</c:v>
                </c:pt>
                <c:pt idx="62">
                  <c:v>1.8663796908346708</c:v>
                </c:pt>
                <c:pt idx="63">
                  <c:v>1.9565907679349384</c:v>
                </c:pt>
                <c:pt idx="64">
                  <c:v>2.0511621788255687</c:v>
                </c:pt>
                <c:pt idx="65">
                  <c:v>2.1503046793402585</c:v>
                </c:pt>
                <c:pt idx="66">
                  <c:v>2.2542392121524299</c:v>
                </c:pt>
                <c:pt idx="67">
                  <c:v>2.3631973991540174</c:v>
                </c:pt>
                <c:pt idx="68">
                  <c:v>2.4774220576332868</c:v>
                </c:pt>
                <c:pt idx="69">
                  <c:v>2.5971677414020147</c:v>
                </c:pt>
                <c:pt idx="70">
                  <c:v>2.7227013080779146</c:v>
                </c:pt>
                <c:pt idx="71">
                  <c:v>2.8543025137865814</c:v>
                </c:pt>
                <c:pt idx="72">
                  <c:v>2.9922646366081933</c:v>
                </c:pt>
                <c:pt idx="73">
                  <c:v>3.1368951301583805</c:v>
                </c:pt>
                <c:pt idx="74">
                  <c:v>3.2885163087598359</c:v>
                </c:pt>
                <c:pt idx="75">
                  <c:v>3.4474660657314997</c:v>
                </c:pt>
                <c:pt idx="76">
                  <c:v>3.614098626396133</c:v>
                </c:pt>
                <c:pt idx="77">
                  <c:v>3.7887853374843723</c:v>
                </c:pt>
                <c:pt idx="78">
                  <c:v>3.9719154946944051</c:v>
                </c:pt>
                <c:pt idx="79">
                  <c:v>4.1638972102516485</c:v>
                </c:pt>
                <c:pt idx="80">
                  <c:v>4.3651583224016628</c:v>
                </c:pt>
                <c:pt idx="81">
                  <c:v>4.5761473488633388</c:v>
                </c:pt>
                <c:pt idx="82">
                  <c:v>4.7973344863668963</c:v>
                </c:pt>
                <c:pt idx="83">
                  <c:v>5.029212658504461</c:v>
                </c:pt>
                <c:pt idx="84">
                  <c:v>5.2722986142282346</c:v>
                </c:pt>
                <c:pt idx="85">
                  <c:v>5.527134079444358</c:v>
                </c:pt>
                <c:pt idx="86">
                  <c:v>5.7942869642688102</c:v>
                </c:pt>
                <c:pt idx="87">
                  <c:v>6.0743526286358431</c:v>
                </c:pt>
                <c:pt idx="88">
                  <c:v>6.3679552090791711</c:v>
                </c:pt>
                <c:pt idx="89">
                  <c:v>6.6757490096430647</c:v>
                </c:pt>
                <c:pt idx="90">
                  <c:v>6.9984199600227397</c:v>
                </c:pt>
                <c:pt idx="91">
                  <c:v>7.3366871441836006</c:v>
                </c:pt>
                <c:pt idx="92">
                  <c:v>7.6913044028661037</c:v>
                </c:pt>
                <c:pt idx="93">
                  <c:v>8.0630620135472846</c:v>
                </c:pt>
                <c:pt idx="94">
                  <c:v>8.4527884516029097</c:v>
                </c:pt>
                <c:pt idx="95">
                  <c:v>8.8613522365949944</c:v>
                </c:pt>
                <c:pt idx="96">
                  <c:v>9.2896638677993781</c:v>
                </c:pt>
                <c:pt idx="97">
                  <c:v>9.7386778532863492</c:v>
                </c:pt>
                <c:pt idx="98">
                  <c:v>10.209394837076818</c:v>
                </c:pt>
                <c:pt idx="99">
                  <c:v>10.70286382911387</c:v>
                </c:pt>
                <c:pt idx="100">
                  <c:v>11.220184543019659</c:v>
                </c:pt>
                <c:pt idx="101">
                  <c:v>11.762509846847239</c:v>
                </c:pt>
                <c:pt idx="102">
                  <c:v>12.3310483322891</c:v>
                </c:pt>
                <c:pt idx="103">
                  <c:v>12.927067008067624</c:v>
                </c:pt>
                <c:pt idx="104">
                  <c:v>13.551894123510374</c:v>
                </c:pt>
                <c:pt idx="105">
                  <c:v>14.206922128601839</c:v>
                </c:pt>
                <c:pt idx="106">
                  <c:v>14.893610777109172</c:v>
                </c:pt>
                <c:pt idx="107">
                  <c:v>15.613490379696527</c:v>
                </c:pt>
                <c:pt idx="108">
                  <c:v>16.368165214278115</c:v>
                </c:pt>
                <c:pt idx="109">
                  <c:v>17.159317101209979</c:v>
                </c:pt>
                <c:pt idx="110">
                  <c:v>17.988709151287882</c:v>
                </c:pt>
                <c:pt idx="111">
                  <c:v>18.858189694904056</c:v>
                </c:pt>
                <c:pt idx="112">
                  <c:v>19.769696401118654</c:v>
                </c:pt>
                <c:pt idx="113">
                  <c:v>20.725260595825759</c:v>
                </c:pt>
                <c:pt idx="114">
                  <c:v>21.727011788637466</c:v>
                </c:pt>
                <c:pt idx="115">
                  <c:v>22.777182418573243</c:v>
                </c:pt>
                <c:pt idx="116">
                  <c:v>23.878112829131805</c:v>
                </c:pt>
                <c:pt idx="117">
                  <c:v>25.032256483831755</c:v>
                </c:pt>
                <c:pt idx="118">
                  <c:v>26.242185433844458</c:v>
                </c:pt>
                <c:pt idx="119">
                  <c:v>27.510596049903697</c:v>
                </c:pt>
                <c:pt idx="120">
                  <c:v>28.840315031266062</c:v>
                </c:pt>
                <c:pt idx="121">
                  <c:v>30.234305705113421</c:v>
                </c:pt>
                <c:pt idx="122">
                  <c:v>31.695674630434922</c:v>
                </c:pt>
                <c:pt idx="123">
                  <c:v>33.227678521107585</c:v>
                </c:pt>
                <c:pt idx="124">
                  <c:v>34.8337315036012</c:v>
                </c:pt>
                <c:pt idx="125">
                  <c:v>36.517412725483801</c:v>
                </c:pt>
                <c:pt idx="126">
                  <c:v>38.282474331682302</c:v>
                </c:pt>
                <c:pt idx="127">
                  <c:v>40.13284982627416</c:v>
                </c:pt>
                <c:pt idx="128">
                  <c:v>42.072662838444536</c:v>
                </c:pt>
                <c:pt idx="129">
                  <c:v>44.106236312143835</c:v>
                </c:pt>
                <c:pt idx="130">
                  <c:v>46.238102139926106</c:v>
                </c:pt>
                <c:pt idx="131">
                  <c:v>48.4730112624367</c:v>
                </c:pt>
                <c:pt idx="132">
                  <c:v>50.815944256056063</c:v>
                </c:pt>
                <c:pt idx="133">
                  <c:v>53.272122432296214</c:v>
                </c:pt>
                <c:pt idx="134">
                  <c:v>55.847019473683105</c:v>
                </c:pt>
                <c:pt idx="135">
                  <c:v>58.546373632057758</c:v>
                </c:pt>
                <c:pt idx="136">
                  <c:v>61.376200516479472</c:v>
                </c:pt>
                <c:pt idx="137">
                  <c:v>64.342806499229795</c:v>
                </c:pt>
                <c:pt idx="138">
                  <c:v>67.452802769792399</c:v>
                </c:pt>
                <c:pt idx="139">
                  <c:v>70.713120068130195</c:v>
                </c:pt>
                <c:pt idx="140">
                  <c:v>74.131024130091859</c:v>
                </c:pt>
                <c:pt idx="141">
                  <c:v>77.714131879368097</c:v>
                </c:pt>
                <c:pt idx="142">
                  <c:v>81.470428402083954</c:v>
                </c:pt>
                <c:pt idx="143">
                  <c:v>85.408284741854459</c:v>
                </c:pt>
                <c:pt idx="144">
                  <c:v>89.536476554959421</c:v>
                </c:pt>
                <c:pt idx="145">
                  <c:v>93.864203667213729</c:v>
                </c:pt>
                <c:pt idx="146">
                  <c:v>98.401110576113609</c:v>
                </c:pt>
                <c:pt idx="147">
                  <c:v>103.15730794395138</c:v>
                </c:pt>
                <c:pt idx="148">
                  <c:v>108.1433951297941</c:v>
                </c:pt>
                <c:pt idx="149">
                  <c:v>113.37048381054119</c:v>
                </c:pt>
                <c:pt idx="150">
                  <c:v>118.85022274370199</c:v>
                </c:pt>
                <c:pt idx="151">
                  <c:v>124.59482372707467</c:v>
                </c:pt>
                <c:pt idx="152">
                  <c:v>130.61708881318413</c:v>
                </c:pt>
                <c:pt idx="153">
                  <c:v>136.93043883912074</c:v>
                </c:pt>
                <c:pt idx="154">
                  <c:v>143.54894333536586</c:v>
                </c:pt>
                <c:pt idx="155">
                  <c:v>150.48735188025168</c:v>
                </c:pt>
                <c:pt idx="156">
                  <c:v>157.76112696993519</c:v>
                </c:pt>
                <c:pt idx="157">
                  <c:v>165.38647847713324</c:v>
                </c:pt>
                <c:pt idx="158">
                  <c:v>173.38039977541422</c:v>
                </c:pt>
                <c:pt idx="159">
                  <c:v>181.76070560955012</c:v>
                </c:pt>
                <c:pt idx="160">
                  <c:v>190.54607179632492</c:v>
                </c:pt>
                <c:pt idx="161">
                  <c:v>199.75607684427067</c:v>
                </c:pt>
                <c:pt idx="162">
                  <c:v>209.41124558508955</c:v>
                </c:pt>
                <c:pt idx="163">
                  <c:v>219.53309491398531</c:v>
                </c:pt>
                <c:pt idx="164">
                  <c:v>230.14418174085122</c:v>
                </c:pt>
                <c:pt idx="165">
                  <c:v>241.2681532591638</c:v>
                </c:pt>
                <c:pt idx="166">
                  <c:v>252.92979964461497</c:v>
                </c:pt>
                <c:pt idx="167">
                  <c:v>265.15510930092154</c:v>
                </c:pt>
                <c:pt idx="168">
                  <c:v>277.97132677592901</c:v>
                </c:pt>
                <c:pt idx="169">
                  <c:v>291.40701347708074</c:v>
                </c:pt>
                <c:pt idx="170">
                  <c:v>305.49211132155216</c:v>
                </c:pt>
                <c:pt idx="171">
                  <c:v>320.2580094629032</c:v>
                </c:pt>
                <c:pt idx="172">
                  <c:v>335.73761424295503</c:v>
                </c:pt>
                <c:pt idx="173">
                  <c:v>351.96542252476632</c:v>
                </c:pt>
                <c:pt idx="174">
                  <c:v>368.97759857015092</c:v>
                </c:pt>
                <c:pt idx="175">
                  <c:v>386.81205463305287</c:v>
                </c:pt>
                <c:pt idx="176">
                  <c:v>405.50853544838458</c:v>
                </c:pt>
                <c:pt idx="177">
                  <c:v>425.10870680461653</c:v>
                </c:pt>
                <c:pt idx="178">
                  <c:v>445.65624839750348</c:v>
                </c:pt>
                <c:pt idx="179">
                  <c:v>467.19695117188121</c:v>
                </c:pt>
                <c:pt idx="180">
                  <c:v>489.77881936844653</c:v>
                </c:pt>
                <c:pt idx="181">
                  <c:v>513.45217750296717</c:v>
                </c:pt>
                <c:pt idx="182">
                  <c:v>538.26978251628884</c:v>
                </c:pt>
                <c:pt idx="183">
                  <c:v>564.28694134510431</c:v>
                </c:pt>
                <c:pt idx="184">
                  <c:v>591.56163417547475</c:v>
                </c:pt>
                <c:pt idx="185">
                  <c:v>620.15464365378637</c:v>
                </c:pt>
                <c:pt idx="186">
                  <c:v>650.12969034309288</c:v>
                </c:pt>
                <c:pt idx="187">
                  <c:v>681.55357472670687</c:v>
                </c:pt>
                <c:pt idx="188">
                  <c:v>714.49632607551473</c:v>
                </c:pt>
                <c:pt idx="189">
                  <c:v>749.03135851075888</c:v>
                </c:pt>
                <c:pt idx="190">
                  <c:v>785.23563461007222</c:v>
                </c:pt>
                <c:pt idx="191">
                  <c:v>823.18983692139693</c:v>
                </c:pt>
                <c:pt idx="192">
                  <c:v>862.97854776697102</c:v>
                </c:pt>
                <c:pt idx="193">
                  <c:v>904.69043773812018</c:v>
                </c:pt>
                <c:pt idx="194">
                  <c:v>948.41846330089822</c:v>
                </c:pt>
                <c:pt idx="195">
                  <c:v>994.26007395295971</c:v>
                </c:pt>
                <c:pt idx="196">
                  <c:v>1042.3174293933057</c:v>
                </c:pt>
                <c:pt idx="197">
                  <c:v>1092.6976271889114</c:v>
                </c:pt>
                <c:pt idx="198">
                  <c:v>1145.5129414455375</c:v>
                </c:pt>
              </c:numCache>
            </c:numRef>
          </c:xVal>
          <c:yVal>
            <c:numRef>
              <c:f>BodI!$Q$2:$Q$200</c:f>
              <c:numCache>
                <c:formatCode>General</c:formatCode>
                <c:ptCount val="199"/>
                <c:pt idx="0">
                  <c:v>-23.493182485288049</c:v>
                </c:pt>
                <c:pt idx="1">
                  <c:v>-23.493182485288049</c:v>
                </c:pt>
                <c:pt idx="2">
                  <c:v>-23.493182485288049</c:v>
                </c:pt>
                <c:pt idx="3">
                  <c:v>-23.493182485288049</c:v>
                </c:pt>
                <c:pt idx="4">
                  <c:v>-23.493182485288049</c:v>
                </c:pt>
                <c:pt idx="5">
                  <c:v>-23.493182485288049</c:v>
                </c:pt>
                <c:pt idx="6">
                  <c:v>-23.493182485288049</c:v>
                </c:pt>
                <c:pt idx="7">
                  <c:v>-23.493182485288049</c:v>
                </c:pt>
                <c:pt idx="8">
                  <c:v>-23.493182485288049</c:v>
                </c:pt>
                <c:pt idx="9">
                  <c:v>-23.493182485288049</c:v>
                </c:pt>
                <c:pt idx="10">
                  <c:v>-23.493182485288049</c:v>
                </c:pt>
                <c:pt idx="11">
                  <c:v>-23.493182485288049</c:v>
                </c:pt>
                <c:pt idx="12">
                  <c:v>-23.493182485288049</c:v>
                </c:pt>
                <c:pt idx="13">
                  <c:v>-23.493182485288049</c:v>
                </c:pt>
                <c:pt idx="14">
                  <c:v>-23.493182485288049</c:v>
                </c:pt>
                <c:pt idx="15">
                  <c:v>-23.493182485288049</c:v>
                </c:pt>
                <c:pt idx="16">
                  <c:v>-23.493182485288049</c:v>
                </c:pt>
                <c:pt idx="17">
                  <c:v>-23.493182485288049</c:v>
                </c:pt>
                <c:pt idx="18">
                  <c:v>-23.493182485288049</c:v>
                </c:pt>
                <c:pt idx="19">
                  <c:v>-23.493182485288049</c:v>
                </c:pt>
                <c:pt idx="20">
                  <c:v>-23.493182485288049</c:v>
                </c:pt>
                <c:pt idx="21">
                  <c:v>-23.493182485288049</c:v>
                </c:pt>
                <c:pt idx="22">
                  <c:v>-23.493182485288049</c:v>
                </c:pt>
                <c:pt idx="23">
                  <c:v>-23.493182485288049</c:v>
                </c:pt>
                <c:pt idx="24">
                  <c:v>-23.493182485288049</c:v>
                </c:pt>
                <c:pt idx="25">
                  <c:v>-23.493182485288049</c:v>
                </c:pt>
                <c:pt idx="26">
                  <c:v>-23.493182485288049</c:v>
                </c:pt>
                <c:pt idx="27">
                  <c:v>-23.493182485288049</c:v>
                </c:pt>
                <c:pt idx="28">
                  <c:v>-23.493182485288049</c:v>
                </c:pt>
                <c:pt idx="29">
                  <c:v>-23.493182485288049</c:v>
                </c:pt>
                <c:pt idx="30">
                  <c:v>-23.493182485288049</c:v>
                </c:pt>
                <c:pt idx="31">
                  <c:v>-23.493182485288049</c:v>
                </c:pt>
                <c:pt idx="32">
                  <c:v>-23.493182485288049</c:v>
                </c:pt>
                <c:pt idx="33">
                  <c:v>-23.493182485288049</c:v>
                </c:pt>
                <c:pt idx="34">
                  <c:v>-23.493182485288049</c:v>
                </c:pt>
                <c:pt idx="35">
                  <c:v>-23.493182485288049</c:v>
                </c:pt>
                <c:pt idx="36">
                  <c:v>-23.493182485288049</c:v>
                </c:pt>
                <c:pt idx="37">
                  <c:v>-23.493182485288049</c:v>
                </c:pt>
                <c:pt idx="38">
                  <c:v>-23.493182485288049</c:v>
                </c:pt>
                <c:pt idx="39">
                  <c:v>-23.493182485288049</c:v>
                </c:pt>
                <c:pt idx="40">
                  <c:v>-23.493182485288049</c:v>
                </c:pt>
                <c:pt idx="41">
                  <c:v>-23.493182485288049</c:v>
                </c:pt>
                <c:pt idx="42">
                  <c:v>-23.493182485288049</c:v>
                </c:pt>
                <c:pt idx="43">
                  <c:v>-23.493182485288049</c:v>
                </c:pt>
                <c:pt idx="44">
                  <c:v>-23.493182485288049</c:v>
                </c:pt>
                <c:pt idx="45">
                  <c:v>-23.493182485288049</c:v>
                </c:pt>
                <c:pt idx="46">
                  <c:v>-23.493182485288049</c:v>
                </c:pt>
                <c:pt idx="47">
                  <c:v>-23.493182485288049</c:v>
                </c:pt>
                <c:pt idx="48">
                  <c:v>-23.493182485288049</c:v>
                </c:pt>
                <c:pt idx="49">
                  <c:v>-23.493182485288049</c:v>
                </c:pt>
                <c:pt idx="50">
                  <c:v>-23.493182485288049</c:v>
                </c:pt>
                <c:pt idx="51">
                  <c:v>-23.493182485288049</c:v>
                </c:pt>
                <c:pt idx="52">
                  <c:v>-23.493182485288049</c:v>
                </c:pt>
                <c:pt idx="53">
                  <c:v>-23.493182485288049</c:v>
                </c:pt>
                <c:pt idx="54">
                  <c:v>-23.493182485288049</c:v>
                </c:pt>
                <c:pt idx="55">
                  <c:v>-23.493182485288049</c:v>
                </c:pt>
                <c:pt idx="56">
                  <c:v>-23.493182485288049</c:v>
                </c:pt>
                <c:pt idx="57">
                  <c:v>-23.493182485288049</c:v>
                </c:pt>
                <c:pt idx="58">
                  <c:v>-23.493182485288049</c:v>
                </c:pt>
                <c:pt idx="59">
                  <c:v>-23.493182485288049</c:v>
                </c:pt>
                <c:pt idx="60">
                  <c:v>-23.493182485288049</c:v>
                </c:pt>
                <c:pt idx="61">
                  <c:v>-23.493182485288049</c:v>
                </c:pt>
                <c:pt idx="62">
                  <c:v>-23.493182485288049</c:v>
                </c:pt>
                <c:pt idx="63">
                  <c:v>-23.493182485288049</c:v>
                </c:pt>
                <c:pt idx="64">
                  <c:v>-23.493182485288049</c:v>
                </c:pt>
                <c:pt idx="65">
                  <c:v>-23.493182485288049</c:v>
                </c:pt>
                <c:pt idx="66">
                  <c:v>-23.493182485288049</c:v>
                </c:pt>
                <c:pt idx="67">
                  <c:v>-23.493182485288049</c:v>
                </c:pt>
                <c:pt idx="68">
                  <c:v>-23.493182485288049</c:v>
                </c:pt>
                <c:pt idx="69">
                  <c:v>-23.493182485288049</c:v>
                </c:pt>
                <c:pt idx="70">
                  <c:v>-23.493182485288049</c:v>
                </c:pt>
                <c:pt idx="71">
                  <c:v>-23.493182485288049</c:v>
                </c:pt>
                <c:pt idx="72">
                  <c:v>-23.493182485288049</c:v>
                </c:pt>
                <c:pt idx="73">
                  <c:v>-23.493182485288049</c:v>
                </c:pt>
                <c:pt idx="74">
                  <c:v>-23.493182485288049</c:v>
                </c:pt>
                <c:pt idx="75">
                  <c:v>-23.493182485288049</c:v>
                </c:pt>
                <c:pt idx="76">
                  <c:v>-23.493182485288049</c:v>
                </c:pt>
                <c:pt idx="77">
                  <c:v>-23.493182485288049</c:v>
                </c:pt>
                <c:pt idx="78">
                  <c:v>-23.493182485288049</c:v>
                </c:pt>
                <c:pt idx="79">
                  <c:v>-23.493182485288049</c:v>
                </c:pt>
                <c:pt idx="80">
                  <c:v>-23.493182485288049</c:v>
                </c:pt>
                <c:pt idx="81">
                  <c:v>-23.493182485288049</c:v>
                </c:pt>
                <c:pt idx="82">
                  <c:v>-23.493182485288049</c:v>
                </c:pt>
                <c:pt idx="83">
                  <c:v>-23.493182485288049</c:v>
                </c:pt>
                <c:pt idx="84">
                  <c:v>-23.493182485288049</c:v>
                </c:pt>
                <c:pt idx="85">
                  <c:v>-23.493182485288049</c:v>
                </c:pt>
                <c:pt idx="86">
                  <c:v>-23.493182485288049</c:v>
                </c:pt>
                <c:pt idx="87">
                  <c:v>-23.493182485288049</c:v>
                </c:pt>
                <c:pt idx="88">
                  <c:v>-23.493182485288049</c:v>
                </c:pt>
                <c:pt idx="89">
                  <c:v>-23.493182485288049</c:v>
                </c:pt>
                <c:pt idx="90">
                  <c:v>-23.493182485288049</c:v>
                </c:pt>
                <c:pt idx="91">
                  <c:v>-23.493182485288049</c:v>
                </c:pt>
                <c:pt idx="92">
                  <c:v>-23.493182485288049</c:v>
                </c:pt>
                <c:pt idx="93">
                  <c:v>-23.493182485288049</c:v>
                </c:pt>
                <c:pt idx="94">
                  <c:v>-23.493182485288049</c:v>
                </c:pt>
                <c:pt idx="95">
                  <c:v>-23.493182485288049</c:v>
                </c:pt>
                <c:pt idx="96">
                  <c:v>-23.493182485288049</c:v>
                </c:pt>
                <c:pt idx="97">
                  <c:v>-23.493182485288049</c:v>
                </c:pt>
                <c:pt idx="98">
                  <c:v>-23.493182485288049</c:v>
                </c:pt>
                <c:pt idx="99">
                  <c:v>-23.493182485288049</c:v>
                </c:pt>
                <c:pt idx="100">
                  <c:v>-23.493182485288049</c:v>
                </c:pt>
                <c:pt idx="101">
                  <c:v>-23.493182485288049</c:v>
                </c:pt>
                <c:pt idx="102">
                  <c:v>-23.493182485288049</c:v>
                </c:pt>
                <c:pt idx="103">
                  <c:v>-23.493182485288049</c:v>
                </c:pt>
                <c:pt idx="104">
                  <c:v>-23.493182485288049</c:v>
                </c:pt>
                <c:pt idx="105">
                  <c:v>-23.493182485288049</c:v>
                </c:pt>
                <c:pt idx="106">
                  <c:v>-23.493182485288049</c:v>
                </c:pt>
                <c:pt idx="107">
                  <c:v>-23.493182485288049</c:v>
                </c:pt>
                <c:pt idx="108">
                  <c:v>-23.493182485288049</c:v>
                </c:pt>
                <c:pt idx="109">
                  <c:v>-23.493182485288049</c:v>
                </c:pt>
                <c:pt idx="110">
                  <c:v>-23.493182485288049</c:v>
                </c:pt>
                <c:pt idx="111">
                  <c:v>-23.493182485288049</c:v>
                </c:pt>
                <c:pt idx="112">
                  <c:v>-23.493182485288049</c:v>
                </c:pt>
                <c:pt idx="113">
                  <c:v>-23.493182485288049</c:v>
                </c:pt>
                <c:pt idx="114">
                  <c:v>-23.493182485288049</c:v>
                </c:pt>
                <c:pt idx="115">
                  <c:v>-23.493182485288049</c:v>
                </c:pt>
                <c:pt idx="116">
                  <c:v>-23.493182485288049</c:v>
                </c:pt>
                <c:pt idx="117">
                  <c:v>-23.493182485288049</c:v>
                </c:pt>
                <c:pt idx="118">
                  <c:v>-23.493182485288049</c:v>
                </c:pt>
                <c:pt idx="119">
                  <c:v>-23.493182485288049</c:v>
                </c:pt>
                <c:pt idx="120">
                  <c:v>-23.493182485288049</c:v>
                </c:pt>
                <c:pt idx="121">
                  <c:v>-23.493182485288049</c:v>
                </c:pt>
                <c:pt idx="122">
                  <c:v>-23.493182485288049</c:v>
                </c:pt>
                <c:pt idx="123">
                  <c:v>-23.493182485288049</c:v>
                </c:pt>
                <c:pt idx="124">
                  <c:v>-23.493182485288049</c:v>
                </c:pt>
                <c:pt idx="125">
                  <c:v>-23.493182485288049</c:v>
                </c:pt>
                <c:pt idx="126">
                  <c:v>-23.493182485288049</c:v>
                </c:pt>
                <c:pt idx="127">
                  <c:v>-23.493182485288049</c:v>
                </c:pt>
                <c:pt idx="128">
                  <c:v>-23.493182485288049</c:v>
                </c:pt>
                <c:pt idx="129">
                  <c:v>-23.493182485288049</c:v>
                </c:pt>
                <c:pt idx="130">
                  <c:v>-23.493182485288049</c:v>
                </c:pt>
                <c:pt idx="131">
                  <c:v>-23.493182485288049</c:v>
                </c:pt>
                <c:pt idx="132">
                  <c:v>-23.493182485288049</c:v>
                </c:pt>
                <c:pt idx="133">
                  <c:v>-23.493182485288049</c:v>
                </c:pt>
                <c:pt idx="134">
                  <c:v>-23.493182485288049</c:v>
                </c:pt>
                <c:pt idx="135">
                  <c:v>-23.493182485288049</c:v>
                </c:pt>
                <c:pt idx="136">
                  <c:v>-23.493182485288049</c:v>
                </c:pt>
                <c:pt idx="137">
                  <c:v>-23.493182485288049</c:v>
                </c:pt>
                <c:pt idx="138">
                  <c:v>-23.493182485288049</c:v>
                </c:pt>
                <c:pt idx="139">
                  <c:v>-23.493182485288049</c:v>
                </c:pt>
                <c:pt idx="140">
                  <c:v>-23.493182485288049</c:v>
                </c:pt>
                <c:pt idx="141">
                  <c:v>-23.493182485288049</c:v>
                </c:pt>
                <c:pt idx="142">
                  <c:v>-23.493182485288049</c:v>
                </c:pt>
                <c:pt idx="143">
                  <c:v>-23.493182485288049</c:v>
                </c:pt>
                <c:pt idx="144">
                  <c:v>-23.493182485288049</c:v>
                </c:pt>
                <c:pt idx="145">
                  <c:v>-23.493182485288049</c:v>
                </c:pt>
                <c:pt idx="146">
                  <c:v>-23.493182485288049</c:v>
                </c:pt>
                <c:pt idx="147">
                  <c:v>-23.493182485288049</c:v>
                </c:pt>
                <c:pt idx="148">
                  <c:v>-23.493182485288049</c:v>
                </c:pt>
                <c:pt idx="149">
                  <c:v>-23.493182485288049</c:v>
                </c:pt>
                <c:pt idx="150">
                  <c:v>-23.493182485288049</c:v>
                </c:pt>
                <c:pt idx="151">
                  <c:v>-23.493182485288049</c:v>
                </c:pt>
                <c:pt idx="152">
                  <c:v>-23.493182485288049</c:v>
                </c:pt>
                <c:pt idx="153">
                  <c:v>-23.493182485288049</c:v>
                </c:pt>
                <c:pt idx="154">
                  <c:v>-23.493182485288049</c:v>
                </c:pt>
                <c:pt idx="155">
                  <c:v>-23.493182485288049</c:v>
                </c:pt>
                <c:pt idx="156">
                  <c:v>-23.493182485288049</c:v>
                </c:pt>
                <c:pt idx="157">
                  <c:v>-23.493182485288049</c:v>
                </c:pt>
                <c:pt idx="158">
                  <c:v>-23.493182485288049</c:v>
                </c:pt>
                <c:pt idx="159">
                  <c:v>-23.493182485288049</c:v>
                </c:pt>
                <c:pt idx="160">
                  <c:v>-23.493182485288049</c:v>
                </c:pt>
                <c:pt idx="161">
                  <c:v>-23.493182485288049</c:v>
                </c:pt>
                <c:pt idx="162">
                  <c:v>-23.493182485288049</c:v>
                </c:pt>
                <c:pt idx="163">
                  <c:v>-23.493182485288049</c:v>
                </c:pt>
                <c:pt idx="164">
                  <c:v>-23.493182485288049</c:v>
                </c:pt>
                <c:pt idx="165">
                  <c:v>-23.493182485288049</c:v>
                </c:pt>
                <c:pt idx="166">
                  <c:v>-23.493182485288049</c:v>
                </c:pt>
                <c:pt idx="167">
                  <c:v>-23.493182485288049</c:v>
                </c:pt>
                <c:pt idx="168">
                  <c:v>-23.493182485288049</c:v>
                </c:pt>
                <c:pt idx="169">
                  <c:v>-23.493182485288049</c:v>
                </c:pt>
                <c:pt idx="170">
                  <c:v>-23.493182485288049</c:v>
                </c:pt>
                <c:pt idx="171">
                  <c:v>-23.493182485288049</c:v>
                </c:pt>
                <c:pt idx="172">
                  <c:v>-23.493182485288049</c:v>
                </c:pt>
                <c:pt idx="173">
                  <c:v>-23.493182485288049</c:v>
                </c:pt>
                <c:pt idx="174">
                  <c:v>-23.493182485288049</c:v>
                </c:pt>
                <c:pt idx="175">
                  <c:v>-23.493182485288049</c:v>
                </c:pt>
                <c:pt idx="176">
                  <c:v>-23.493182485288049</c:v>
                </c:pt>
                <c:pt idx="177">
                  <c:v>-23.493182485288049</c:v>
                </c:pt>
                <c:pt idx="178">
                  <c:v>-23.493182485288049</c:v>
                </c:pt>
                <c:pt idx="179">
                  <c:v>-23.493182485288049</c:v>
                </c:pt>
                <c:pt idx="180">
                  <c:v>-23.493182485288049</c:v>
                </c:pt>
                <c:pt idx="181">
                  <c:v>-23.493182485288049</c:v>
                </c:pt>
                <c:pt idx="182">
                  <c:v>-23.493182485288049</c:v>
                </c:pt>
                <c:pt idx="183">
                  <c:v>-23.493182485288049</c:v>
                </c:pt>
                <c:pt idx="184">
                  <c:v>-23.493182485288049</c:v>
                </c:pt>
                <c:pt idx="185">
                  <c:v>-23.493182485288049</c:v>
                </c:pt>
                <c:pt idx="186">
                  <c:v>-23.493182485288049</c:v>
                </c:pt>
                <c:pt idx="187">
                  <c:v>-23.493182485288049</c:v>
                </c:pt>
                <c:pt idx="188">
                  <c:v>-23.493182485288049</c:v>
                </c:pt>
                <c:pt idx="189">
                  <c:v>-23.493182485288049</c:v>
                </c:pt>
                <c:pt idx="190">
                  <c:v>-23.493182485288049</c:v>
                </c:pt>
                <c:pt idx="191">
                  <c:v>-23.493182485288049</c:v>
                </c:pt>
                <c:pt idx="192">
                  <c:v>-23.493182485288049</c:v>
                </c:pt>
                <c:pt idx="193">
                  <c:v>-23.493182485288049</c:v>
                </c:pt>
                <c:pt idx="194">
                  <c:v>-23.493182485288049</c:v>
                </c:pt>
                <c:pt idx="195">
                  <c:v>-23.493182485288049</c:v>
                </c:pt>
                <c:pt idx="196">
                  <c:v>-23.493182485288049</c:v>
                </c:pt>
                <c:pt idx="197">
                  <c:v>-23.493182485288049</c:v>
                </c:pt>
                <c:pt idx="198">
                  <c:v>-23.493182485288049</c:v>
                </c:pt>
              </c:numCache>
            </c:numRef>
          </c:yVal>
          <c:smooth val="0"/>
          <c:extLst>
            <c:ext xmlns:c16="http://schemas.microsoft.com/office/drawing/2014/chart" uri="{C3380CC4-5D6E-409C-BE32-E72D297353CC}">
              <c16:uniqueId val="{00000000-8CF3-4545-968E-25E4FDA106B2}"/>
            </c:ext>
          </c:extLst>
        </c:ser>
        <c:dLbls>
          <c:showLegendKey val="0"/>
          <c:showVal val="0"/>
          <c:showCatName val="0"/>
          <c:showSerName val="0"/>
          <c:showPercent val="0"/>
          <c:showBubbleSize val="0"/>
        </c:dLbls>
        <c:axId val="1183686287"/>
        <c:axId val="1"/>
      </c:scatterChart>
      <c:scatterChart>
        <c:scatterStyle val="lineMarker"/>
        <c:varyColors val="0"/>
        <c:ser>
          <c:idx val="1"/>
          <c:order val="1"/>
          <c:tx>
            <c:v>Phase</c:v>
          </c:tx>
          <c:spPr>
            <a:ln w="25400">
              <a:solidFill>
                <a:srgbClr val="FF00FF"/>
              </a:solidFill>
              <a:prstDash val="solid"/>
            </a:ln>
          </c:spPr>
          <c:marker>
            <c:symbol val="none"/>
          </c:marker>
          <c:xVal>
            <c:numRef>
              <c:f>BodI!$B$2:$B$200</c:f>
              <c:numCache>
                <c:formatCode>General</c:formatCode>
                <c:ptCount val="199"/>
                <c:pt idx="0">
                  <c:v>0.1</c:v>
                </c:pt>
                <c:pt idx="1">
                  <c:v>0.10483347935810021</c:v>
                </c:pt>
                <c:pt idx="2">
                  <c:v>0.10990058394325208</c:v>
                </c:pt>
                <c:pt idx="3">
                  <c:v>0.11521260598258083</c:v>
                </c:pt>
                <c:pt idx="4">
                  <c:v>0.12078138351067803</c:v>
                </c:pt>
                <c:pt idx="5">
                  <c:v>0.12661932675109447</c:v>
                </c:pt>
                <c:pt idx="6">
                  <c:v>0.13273944577297414</c:v>
                </c:pt>
                <c:pt idx="7">
                  <c:v>0.1391553794844673</c:v>
                </c:pt>
                <c:pt idx="8">
                  <c:v>0.14588142602753496</c:v>
                </c:pt>
                <c:pt idx="9">
                  <c:v>0.1529325746418779</c:v>
                </c:pt>
                <c:pt idx="10">
                  <c:v>0.16032453906900421</c:v>
                </c:pt>
                <c:pt idx="11">
                  <c:v>0.16807379257087374</c:v>
                </c:pt>
                <c:pt idx="12">
                  <c:v>0.17619760464116302</c:v>
                </c:pt>
                <c:pt idx="13">
                  <c:v>0.18471407949096058</c:v>
                </c:pt>
                <c:pt idx="14">
                  <c:v>0.19364219639466071</c:v>
                </c:pt>
                <c:pt idx="15">
                  <c:v>0.20300185198596862</c:v>
                </c:pt>
                <c:pt idx="16">
                  <c:v>0.21281390459827129</c:v>
                </c:pt>
                <c:pt idx="17">
                  <c:v>0.22310022074819569</c:v>
                </c:pt>
                <c:pt idx="18">
                  <c:v>0.23388372386593542</c:v>
                </c:pt>
                <c:pt idx="19">
                  <c:v>0.24518844538095164</c:v>
                </c:pt>
                <c:pt idx="20">
                  <c:v>0.25703957827688662</c:v>
                </c:pt>
                <c:pt idx="21">
                  <c:v>0.2694635332350474</c:v>
                </c:pt>
                <c:pt idx="22">
                  <c:v>0.28248799749157083</c:v>
                </c:pt>
                <c:pt idx="23">
                  <c:v>0.29614199653943613</c:v>
                </c:pt>
                <c:pt idx="24">
                  <c:v>0.31045595881283577</c:v>
                </c:pt>
                <c:pt idx="25">
                  <c:v>0.32546178349804616</c:v>
                </c:pt>
                <c:pt idx="26">
                  <c:v>0.34119291162192861</c:v>
                </c:pt>
                <c:pt idx="27">
                  <c:v>0.35768440057647577</c:v>
                </c:pt>
                <c:pt idx="28">
                  <c:v>0.37497300224548369</c:v>
                </c:pt>
                <c:pt idx="29">
                  <c:v>0.39309724490746761</c:v>
                </c:pt>
                <c:pt idx="30">
                  <c:v>0.4120975190973305</c:v>
                </c:pt>
                <c:pt idx="31">
                  <c:v>0.43201616761814249</c:v>
                </c:pt>
                <c:pt idx="32">
                  <c:v>0.45289757990362123</c:v>
                </c:pt>
                <c:pt idx="33">
                  <c:v>0.47478829094159758</c:v>
                </c:pt>
                <c:pt idx="34">
                  <c:v>0.49773708497893626</c:v>
                </c:pt>
                <c:pt idx="35">
                  <c:v>0.5217951042390031</c:v>
                </c:pt>
                <c:pt idx="36">
                  <c:v>0.54701596289397203</c:v>
                </c:pt>
                <c:pt idx="37">
                  <c:v>0.57345586654596503</c:v>
                </c:pt>
                <c:pt idx="38">
                  <c:v>0.60117373748327818</c:v>
                </c:pt>
                <c:pt idx="39">
                  <c:v>0.63023134599085173</c:v>
                </c:pt>
                <c:pt idx="40">
                  <c:v>0.660693448007597</c:v>
                </c:pt>
                <c:pt idx="41">
                  <c:v>0.69262792943736384</c:v>
                </c:pt>
                <c:pt idx="42">
                  <c:v>0.72610595743515483</c:v>
                </c:pt>
                <c:pt idx="43">
                  <c:v>0.76120213900571854</c:v>
                </c:pt>
                <c:pt idx="44">
                  <c:v>0.79799468726797762</c:v>
                </c:pt>
                <c:pt idx="45">
                  <c:v>0.83656559575581046</c:v>
                </c:pt>
                <c:pt idx="46">
                  <c:v>0.87700082114363531</c:v>
                </c:pt>
                <c:pt idx="47">
                  <c:v>0.91939047480398106</c:v>
                </c:pt>
                <c:pt idx="48">
                  <c:v>0.96382902362397149</c:v>
                </c:pt>
                <c:pt idx="49">
                  <c:v>1.0104155005282145</c:v>
                </c:pt>
                <c:pt idx="50">
                  <c:v>1.0592537251772904</c:v>
                </c:pt>
                <c:pt idx="51">
                  <c:v>1.1104525353336407</c:v>
                </c:pt>
                <c:pt idx="52">
                  <c:v>1.164126029410492</c:v>
                </c:pt>
                <c:pt idx="53">
                  <c:v>1.2203938207443192</c:v>
                </c:pt>
                <c:pt idx="54">
                  <c:v>1.2793813041575262</c:v>
                </c:pt>
                <c:pt idx="55">
                  <c:v>1.3412199354053715</c:v>
                </c:pt>
                <c:pt idx="56">
                  <c:v>1.4060475241299157</c:v>
                </c:pt>
                <c:pt idx="57">
                  <c:v>1.4740085409738124</c:v>
                </c:pt>
                <c:pt idx="58">
                  <c:v>1.5452544395384149</c:v>
                </c:pt>
                <c:pt idx="59">
                  <c:v>1.6199439939036309</c:v>
                </c:pt>
                <c:pt idx="60">
                  <c:v>1.6982436524617446</c:v>
                </c:pt>
                <c:pt idx="61">
                  <c:v>1.7803279088537294</c:v>
                </c:pt>
                <c:pt idx="62">
                  <c:v>1.8663796908346708</c:v>
                </c:pt>
                <c:pt idx="63">
                  <c:v>1.9565907679349384</c:v>
                </c:pt>
                <c:pt idx="64">
                  <c:v>2.0511621788255687</c:v>
                </c:pt>
                <c:pt idx="65">
                  <c:v>2.1503046793402585</c:v>
                </c:pt>
                <c:pt idx="66">
                  <c:v>2.2542392121524299</c:v>
                </c:pt>
                <c:pt idx="67">
                  <c:v>2.3631973991540174</c:v>
                </c:pt>
                <c:pt idx="68">
                  <c:v>2.4774220576332868</c:v>
                </c:pt>
                <c:pt idx="69">
                  <c:v>2.5971677414020147</c:v>
                </c:pt>
                <c:pt idx="70">
                  <c:v>2.7227013080779146</c:v>
                </c:pt>
                <c:pt idx="71">
                  <c:v>2.8543025137865814</c:v>
                </c:pt>
                <c:pt idx="72">
                  <c:v>2.9922646366081933</c:v>
                </c:pt>
                <c:pt idx="73">
                  <c:v>3.1368951301583805</c:v>
                </c:pt>
                <c:pt idx="74">
                  <c:v>3.2885163087598359</c:v>
                </c:pt>
                <c:pt idx="75">
                  <c:v>3.4474660657314997</c:v>
                </c:pt>
                <c:pt idx="76">
                  <c:v>3.614098626396133</c:v>
                </c:pt>
                <c:pt idx="77">
                  <c:v>3.7887853374843723</c:v>
                </c:pt>
                <c:pt idx="78">
                  <c:v>3.9719154946944051</c:v>
                </c:pt>
                <c:pt idx="79">
                  <c:v>4.1638972102516485</c:v>
                </c:pt>
                <c:pt idx="80">
                  <c:v>4.3651583224016628</c:v>
                </c:pt>
                <c:pt idx="81">
                  <c:v>4.5761473488633388</c:v>
                </c:pt>
                <c:pt idx="82">
                  <c:v>4.7973344863668963</c:v>
                </c:pt>
                <c:pt idx="83">
                  <c:v>5.029212658504461</c:v>
                </c:pt>
                <c:pt idx="84">
                  <c:v>5.2722986142282346</c:v>
                </c:pt>
                <c:pt idx="85">
                  <c:v>5.527134079444358</c:v>
                </c:pt>
                <c:pt idx="86">
                  <c:v>5.7942869642688102</c:v>
                </c:pt>
                <c:pt idx="87">
                  <c:v>6.0743526286358431</c:v>
                </c:pt>
                <c:pt idx="88">
                  <c:v>6.3679552090791711</c:v>
                </c:pt>
                <c:pt idx="89">
                  <c:v>6.6757490096430647</c:v>
                </c:pt>
                <c:pt idx="90">
                  <c:v>6.9984199600227397</c:v>
                </c:pt>
                <c:pt idx="91">
                  <c:v>7.3366871441836006</c:v>
                </c:pt>
                <c:pt idx="92">
                  <c:v>7.6913044028661037</c:v>
                </c:pt>
                <c:pt idx="93">
                  <c:v>8.0630620135472846</c:v>
                </c:pt>
                <c:pt idx="94">
                  <c:v>8.4527884516029097</c:v>
                </c:pt>
                <c:pt idx="95">
                  <c:v>8.8613522365949944</c:v>
                </c:pt>
                <c:pt idx="96">
                  <c:v>9.2896638677993781</c:v>
                </c:pt>
                <c:pt idx="97">
                  <c:v>9.7386778532863492</c:v>
                </c:pt>
                <c:pt idx="98">
                  <c:v>10.209394837076818</c:v>
                </c:pt>
                <c:pt idx="99">
                  <c:v>10.70286382911387</c:v>
                </c:pt>
                <c:pt idx="100">
                  <c:v>11.220184543019659</c:v>
                </c:pt>
                <c:pt idx="101">
                  <c:v>11.762509846847239</c:v>
                </c:pt>
                <c:pt idx="102">
                  <c:v>12.3310483322891</c:v>
                </c:pt>
                <c:pt idx="103">
                  <c:v>12.927067008067624</c:v>
                </c:pt>
                <c:pt idx="104">
                  <c:v>13.551894123510374</c:v>
                </c:pt>
                <c:pt idx="105">
                  <c:v>14.206922128601839</c:v>
                </c:pt>
                <c:pt idx="106">
                  <c:v>14.893610777109172</c:v>
                </c:pt>
                <c:pt idx="107">
                  <c:v>15.613490379696527</c:v>
                </c:pt>
                <c:pt idx="108">
                  <c:v>16.368165214278115</c:v>
                </c:pt>
                <c:pt idx="109">
                  <c:v>17.159317101209979</c:v>
                </c:pt>
                <c:pt idx="110">
                  <c:v>17.988709151287882</c:v>
                </c:pt>
                <c:pt idx="111">
                  <c:v>18.858189694904056</c:v>
                </c:pt>
                <c:pt idx="112">
                  <c:v>19.769696401118654</c:v>
                </c:pt>
                <c:pt idx="113">
                  <c:v>20.725260595825759</c:v>
                </c:pt>
                <c:pt idx="114">
                  <c:v>21.727011788637466</c:v>
                </c:pt>
                <c:pt idx="115">
                  <c:v>22.777182418573243</c:v>
                </c:pt>
                <c:pt idx="116">
                  <c:v>23.878112829131805</c:v>
                </c:pt>
                <c:pt idx="117">
                  <c:v>25.032256483831755</c:v>
                </c:pt>
                <c:pt idx="118">
                  <c:v>26.242185433844458</c:v>
                </c:pt>
                <c:pt idx="119">
                  <c:v>27.510596049903697</c:v>
                </c:pt>
                <c:pt idx="120">
                  <c:v>28.840315031266062</c:v>
                </c:pt>
                <c:pt idx="121">
                  <c:v>30.234305705113421</c:v>
                </c:pt>
                <c:pt idx="122">
                  <c:v>31.695674630434922</c:v>
                </c:pt>
                <c:pt idx="123">
                  <c:v>33.227678521107585</c:v>
                </c:pt>
                <c:pt idx="124">
                  <c:v>34.8337315036012</c:v>
                </c:pt>
                <c:pt idx="125">
                  <c:v>36.517412725483801</c:v>
                </c:pt>
                <c:pt idx="126">
                  <c:v>38.282474331682302</c:v>
                </c:pt>
                <c:pt idx="127">
                  <c:v>40.13284982627416</c:v>
                </c:pt>
                <c:pt idx="128">
                  <c:v>42.072662838444536</c:v>
                </c:pt>
                <c:pt idx="129">
                  <c:v>44.106236312143835</c:v>
                </c:pt>
                <c:pt idx="130">
                  <c:v>46.238102139926106</c:v>
                </c:pt>
                <c:pt idx="131">
                  <c:v>48.4730112624367</c:v>
                </c:pt>
                <c:pt idx="132">
                  <c:v>50.815944256056063</c:v>
                </c:pt>
                <c:pt idx="133">
                  <c:v>53.272122432296214</c:v>
                </c:pt>
                <c:pt idx="134">
                  <c:v>55.847019473683105</c:v>
                </c:pt>
                <c:pt idx="135">
                  <c:v>58.546373632057758</c:v>
                </c:pt>
                <c:pt idx="136">
                  <c:v>61.376200516479472</c:v>
                </c:pt>
                <c:pt idx="137">
                  <c:v>64.342806499229795</c:v>
                </c:pt>
                <c:pt idx="138">
                  <c:v>67.452802769792399</c:v>
                </c:pt>
                <c:pt idx="139">
                  <c:v>70.713120068130195</c:v>
                </c:pt>
                <c:pt idx="140">
                  <c:v>74.131024130091859</c:v>
                </c:pt>
                <c:pt idx="141">
                  <c:v>77.714131879368097</c:v>
                </c:pt>
                <c:pt idx="142">
                  <c:v>81.470428402083954</c:v>
                </c:pt>
                <c:pt idx="143">
                  <c:v>85.408284741854459</c:v>
                </c:pt>
                <c:pt idx="144">
                  <c:v>89.536476554959421</c:v>
                </c:pt>
                <c:pt idx="145">
                  <c:v>93.864203667213729</c:v>
                </c:pt>
                <c:pt idx="146">
                  <c:v>98.401110576113609</c:v>
                </c:pt>
                <c:pt idx="147">
                  <c:v>103.15730794395138</c:v>
                </c:pt>
                <c:pt idx="148">
                  <c:v>108.1433951297941</c:v>
                </c:pt>
                <c:pt idx="149">
                  <c:v>113.37048381054119</c:v>
                </c:pt>
                <c:pt idx="150">
                  <c:v>118.85022274370199</c:v>
                </c:pt>
                <c:pt idx="151">
                  <c:v>124.59482372707467</c:v>
                </c:pt>
                <c:pt idx="152">
                  <c:v>130.61708881318413</c:v>
                </c:pt>
                <c:pt idx="153">
                  <c:v>136.93043883912074</c:v>
                </c:pt>
                <c:pt idx="154">
                  <c:v>143.54894333536586</c:v>
                </c:pt>
                <c:pt idx="155">
                  <c:v>150.48735188025168</c:v>
                </c:pt>
                <c:pt idx="156">
                  <c:v>157.76112696993519</c:v>
                </c:pt>
                <c:pt idx="157">
                  <c:v>165.38647847713324</c:v>
                </c:pt>
                <c:pt idx="158">
                  <c:v>173.38039977541422</c:v>
                </c:pt>
                <c:pt idx="159">
                  <c:v>181.76070560955012</c:v>
                </c:pt>
                <c:pt idx="160">
                  <c:v>190.54607179632492</c:v>
                </c:pt>
                <c:pt idx="161">
                  <c:v>199.75607684427067</c:v>
                </c:pt>
                <c:pt idx="162">
                  <c:v>209.41124558508955</c:v>
                </c:pt>
                <c:pt idx="163">
                  <c:v>219.53309491398531</c:v>
                </c:pt>
                <c:pt idx="164">
                  <c:v>230.14418174085122</c:v>
                </c:pt>
                <c:pt idx="165">
                  <c:v>241.2681532591638</c:v>
                </c:pt>
                <c:pt idx="166">
                  <c:v>252.92979964461497</c:v>
                </c:pt>
                <c:pt idx="167">
                  <c:v>265.15510930092154</c:v>
                </c:pt>
                <c:pt idx="168">
                  <c:v>277.97132677592901</c:v>
                </c:pt>
                <c:pt idx="169">
                  <c:v>291.40701347708074</c:v>
                </c:pt>
                <c:pt idx="170">
                  <c:v>305.49211132155216</c:v>
                </c:pt>
                <c:pt idx="171">
                  <c:v>320.2580094629032</c:v>
                </c:pt>
                <c:pt idx="172">
                  <c:v>335.73761424295503</c:v>
                </c:pt>
                <c:pt idx="173">
                  <c:v>351.96542252476632</c:v>
                </c:pt>
                <c:pt idx="174">
                  <c:v>368.97759857015092</c:v>
                </c:pt>
                <c:pt idx="175">
                  <c:v>386.81205463305287</c:v>
                </c:pt>
                <c:pt idx="176">
                  <c:v>405.50853544838458</c:v>
                </c:pt>
                <c:pt idx="177">
                  <c:v>425.10870680461653</c:v>
                </c:pt>
                <c:pt idx="178">
                  <c:v>445.65624839750348</c:v>
                </c:pt>
                <c:pt idx="179">
                  <c:v>467.19695117188121</c:v>
                </c:pt>
                <c:pt idx="180">
                  <c:v>489.77881936844653</c:v>
                </c:pt>
                <c:pt idx="181">
                  <c:v>513.45217750296717</c:v>
                </c:pt>
                <c:pt idx="182">
                  <c:v>538.26978251628884</c:v>
                </c:pt>
                <c:pt idx="183">
                  <c:v>564.28694134510431</c:v>
                </c:pt>
                <c:pt idx="184">
                  <c:v>591.56163417547475</c:v>
                </c:pt>
                <c:pt idx="185">
                  <c:v>620.15464365378637</c:v>
                </c:pt>
                <c:pt idx="186">
                  <c:v>650.12969034309288</c:v>
                </c:pt>
                <c:pt idx="187">
                  <c:v>681.55357472670687</c:v>
                </c:pt>
                <c:pt idx="188">
                  <c:v>714.49632607551473</c:v>
                </c:pt>
                <c:pt idx="189">
                  <c:v>749.03135851075888</c:v>
                </c:pt>
                <c:pt idx="190">
                  <c:v>785.23563461007222</c:v>
                </c:pt>
                <c:pt idx="191">
                  <c:v>823.18983692139693</c:v>
                </c:pt>
                <c:pt idx="192">
                  <c:v>862.97854776697102</c:v>
                </c:pt>
                <c:pt idx="193">
                  <c:v>904.69043773812018</c:v>
                </c:pt>
                <c:pt idx="194">
                  <c:v>948.41846330089822</c:v>
                </c:pt>
                <c:pt idx="195">
                  <c:v>994.26007395295971</c:v>
                </c:pt>
                <c:pt idx="196">
                  <c:v>1042.3174293933057</c:v>
                </c:pt>
                <c:pt idx="197">
                  <c:v>1092.6976271889114</c:v>
                </c:pt>
                <c:pt idx="198">
                  <c:v>1145.5129414455375</c:v>
                </c:pt>
              </c:numCache>
            </c:numRef>
          </c:xVal>
          <c:yVal>
            <c:numRef>
              <c:f>BodI!$R$2:$R$200</c:f>
              <c:numCache>
                <c:formatCode>General</c:formatCode>
                <c:ptCount val="19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numCache>
            </c:numRef>
          </c:yVal>
          <c:smooth val="0"/>
          <c:extLst>
            <c:ext xmlns:c16="http://schemas.microsoft.com/office/drawing/2014/chart" uri="{C3380CC4-5D6E-409C-BE32-E72D297353CC}">
              <c16:uniqueId val="{00000001-8CF3-4545-968E-25E4FDA106B2}"/>
            </c:ext>
          </c:extLst>
        </c:ser>
        <c:dLbls>
          <c:showLegendKey val="0"/>
          <c:showVal val="0"/>
          <c:showCatName val="0"/>
          <c:showSerName val="0"/>
          <c:showPercent val="0"/>
          <c:showBubbleSize val="0"/>
        </c:dLbls>
        <c:axId val="3"/>
        <c:axId val="4"/>
      </c:scatterChart>
      <c:valAx>
        <c:axId val="1183686287"/>
        <c:scaling>
          <c:logBase val="10"/>
          <c:orientation val="minMax"/>
          <c:max val="1000"/>
          <c:min val="1"/>
        </c:scaling>
        <c:delete val="0"/>
        <c:axPos val="b"/>
        <c:majorGridlines>
          <c:spPr>
            <a:ln w="3175">
              <a:solidFill>
                <a:srgbClr val="000000"/>
              </a:solidFill>
              <a:prstDash val="solid"/>
            </a:ln>
          </c:spPr>
        </c:majorGridlines>
        <c:minorGridlines>
          <c:spPr>
            <a:ln w="3175">
              <a:solidFill>
                <a:srgbClr val="000000"/>
              </a:solidFill>
              <a:prstDash val="sysDash"/>
            </a:ln>
          </c:spPr>
        </c:minorGridlines>
        <c:title>
          <c:tx>
            <c:rich>
              <a:bodyPr/>
              <a:lstStyle/>
              <a:p>
                <a:pPr>
                  <a:defRPr sz="950" b="1" i="0" u="none" strike="noStrike" baseline="0">
                    <a:solidFill>
                      <a:srgbClr val="000000"/>
                    </a:solidFill>
                    <a:latin typeface="Arial"/>
                    <a:ea typeface="Arial"/>
                    <a:cs typeface="Arial"/>
                  </a:defRPr>
                </a:pPr>
                <a:r>
                  <a:rPr lang="it-IT"/>
                  <a:t>Frequency (kHz)</a:t>
                </a:r>
              </a:p>
            </c:rich>
          </c:tx>
          <c:layout>
            <c:manualLayout>
              <c:xMode val="edge"/>
              <c:yMode val="edge"/>
              <c:x val="0.41463474128930905"/>
              <c:y val="0.75732217573221761"/>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it-IT"/>
          </a:p>
        </c:txPr>
        <c:crossAx val="1"/>
        <c:crosses val="autoZero"/>
        <c:crossBetween val="midCat"/>
      </c:valAx>
      <c:valAx>
        <c:axId val="1"/>
        <c:scaling>
          <c:orientation val="minMax"/>
          <c:max val="30"/>
          <c:min val="-30"/>
        </c:scaling>
        <c:delete val="0"/>
        <c:axPos val="l"/>
        <c:majorGridlines>
          <c:spPr>
            <a:ln w="3175">
              <a:solidFill>
                <a:srgbClr val="000000"/>
              </a:solidFill>
              <a:prstDash val="sysDash"/>
            </a:ln>
          </c:spPr>
        </c:majorGridlines>
        <c:title>
          <c:tx>
            <c:rich>
              <a:bodyPr/>
              <a:lstStyle/>
              <a:p>
                <a:pPr>
                  <a:defRPr sz="875" b="1" i="0" u="none" strike="noStrike" baseline="0">
                    <a:solidFill>
                      <a:srgbClr val="000080"/>
                    </a:solidFill>
                    <a:latin typeface="Arial"/>
                    <a:ea typeface="Arial"/>
                    <a:cs typeface="Arial"/>
                  </a:defRPr>
                </a:pPr>
                <a:r>
                  <a:rPr lang="it-IT"/>
                  <a:t>Magnitude (dB)</a:t>
                </a:r>
              </a:p>
            </c:rich>
          </c:tx>
          <c:layout>
            <c:manualLayout>
              <c:xMode val="edge"/>
              <c:yMode val="edge"/>
              <c:x val="3.3468177072661455E-2"/>
              <c:y val="0.1548117154811715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80"/>
                </a:solidFill>
                <a:latin typeface="Arial"/>
                <a:ea typeface="Arial"/>
                <a:cs typeface="Arial"/>
              </a:defRPr>
            </a:pPr>
            <a:endParaRPr lang="it-IT"/>
          </a:p>
        </c:txPr>
        <c:crossAx val="1183686287"/>
        <c:crosses val="autoZero"/>
        <c:crossBetween val="midCat"/>
        <c:majorUnit val="15"/>
      </c:valAx>
      <c:valAx>
        <c:axId val="3"/>
        <c:scaling>
          <c:logBase val="10"/>
          <c:orientation val="minMax"/>
        </c:scaling>
        <c:delete val="1"/>
        <c:axPos val="b"/>
        <c:numFmt formatCode="General" sourceLinked="1"/>
        <c:majorTickMark val="out"/>
        <c:minorTickMark val="none"/>
        <c:tickLblPos val="nextTo"/>
        <c:crossAx val="4"/>
        <c:crosses val="autoZero"/>
        <c:crossBetween val="midCat"/>
      </c:valAx>
      <c:valAx>
        <c:axId val="4"/>
        <c:scaling>
          <c:orientation val="minMax"/>
          <c:max val="75"/>
          <c:min val="-60"/>
        </c:scaling>
        <c:delete val="0"/>
        <c:axPos val="r"/>
        <c:title>
          <c:tx>
            <c:rich>
              <a:bodyPr/>
              <a:lstStyle/>
              <a:p>
                <a:pPr>
                  <a:defRPr sz="875" b="1" i="0" u="none" strike="noStrike" baseline="0">
                    <a:solidFill>
                      <a:srgbClr val="FF00FF"/>
                    </a:solidFill>
                    <a:latin typeface="Arial"/>
                    <a:ea typeface="Arial"/>
                    <a:cs typeface="Arial"/>
                  </a:defRPr>
                </a:pPr>
                <a:r>
                  <a:rPr lang="it-IT"/>
                  <a:t>Phase (degree)</a:t>
                </a:r>
              </a:p>
            </c:rich>
          </c:tx>
          <c:layout>
            <c:manualLayout>
              <c:xMode val="edge"/>
              <c:yMode val="edge"/>
              <c:x val="0.94826761896398648"/>
              <c:y val="0.14644351464435146"/>
            </c:manualLayout>
          </c:layout>
          <c:overlay val="0"/>
          <c:spPr>
            <a:noFill/>
            <a:ln w="25400">
              <a:noFill/>
            </a:ln>
          </c:spPr>
        </c:title>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FF00FF"/>
                </a:solidFill>
                <a:latin typeface="Arial"/>
                <a:ea typeface="Arial"/>
                <a:cs typeface="Arial"/>
              </a:defRPr>
            </a:pPr>
            <a:endParaRPr lang="it-IT"/>
          </a:p>
        </c:txPr>
        <c:crossAx val="3"/>
        <c:crosses val="max"/>
        <c:crossBetween val="midCat"/>
        <c:majorUnit val="30"/>
      </c:valAx>
      <c:spPr>
        <a:solidFill>
          <a:srgbClr val="FFFFFF"/>
        </a:solidFill>
        <a:ln w="12700">
          <a:solidFill>
            <a:srgbClr val="808080"/>
          </a:solidFill>
          <a:prstDash val="solid"/>
        </a:ln>
      </c:spPr>
    </c:plotArea>
    <c:legend>
      <c:legendPos val="r"/>
      <c:layout>
        <c:manualLayout>
          <c:xMode val="edge"/>
          <c:yMode val="edge"/>
          <c:x val="0.29191692083120568"/>
          <c:y val="0.88631747801588623"/>
          <c:w val="0.45232671396122465"/>
          <c:h val="9.6993233443247936E-2"/>
        </c:manualLayout>
      </c:layout>
      <c:overlay val="0"/>
      <c:spPr>
        <a:solidFill>
          <a:srgbClr val="FFFFFF"/>
        </a:solidFill>
        <a:ln w="25400">
          <a:noFill/>
        </a:ln>
      </c:spPr>
      <c:txPr>
        <a:bodyPr/>
        <a:lstStyle/>
        <a:p>
          <a:pPr>
            <a:defRPr sz="675"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it-IT"/>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22.emf"/><Relationship Id="rId1" Type="http://schemas.openxmlformats.org/officeDocument/2006/relationships/chart" Target="../charts/chart1.xml"/><Relationship Id="rId4" Type="http://schemas.openxmlformats.org/officeDocument/2006/relationships/image" Target="../media/image23.emf"/></Relationships>
</file>

<file path=xl/drawings/_rels/vmlDrawing1.vml.rels><?xml version="1.0" encoding="UTF-8" standalone="yes"?>
<Relationships xmlns="http://schemas.openxmlformats.org/package/2006/relationships"><Relationship Id="rId8" Type="http://schemas.openxmlformats.org/officeDocument/2006/relationships/image" Target="../media/image14.emf"/><Relationship Id="rId13" Type="http://schemas.openxmlformats.org/officeDocument/2006/relationships/image" Target="../media/image9.emf"/><Relationship Id="rId18" Type="http://schemas.openxmlformats.org/officeDocument/2006/relationships/image" Target="../media/image4.emf"/><Relationship Id="rId3" Type="http://schemas.openxmlformats.org/officeDocument/2006/relationships/image" Target="../media/image19.emf"/><Relationship Id="rId7" Type="http://schemas.openxmlformats.org/officeDocument/2006/relationships/image" Target="../media/image15.emf"/><Relationship Id="rId12" Type="http://schemas.openxmlformats.org/officeDocument/2006/relationships/image" Target="../media/image10.emf"/><Relationship Id="rId17" Type="http://schemas.openxmlformats.org/officeDocument/2006/relationships/image" Target="../media/image5.emf"/><Relationship Id="rId2" Type="http://schemas.openxmlformats.org/officeDocument/2006/relationships/image" Target="../media/image20.emf"/><Relationship Id="rId16" Type="http://schemas.openxmlformats.org/officeDocument/2006/relationships/image" Target="../media/image6.emf"/><Relationship Id="rId20" Type="http://schemas.openxmlformats.org/officeDocument/2006/relationships/image" Target="../media/image2.emf"/><Relationship Id="rId1" Type="http://schemas.openxmlformats.org/officeDocument/2006/relationships/image" Target="../media/image21.emf"/><Relationship Id="rId6" Type="http://schemas.openxmlformats.org/officeDocument/2006/relationships/image" Target="../media/image16.emf"/><Relationship Id="rId11" Type="http://schemas.openxmlformats.org/officeDocument/2006/relationships/image" Target="../media/image11.emf"/><Relationship Id="rId5" Type="http://schemas.openxmlformats.org/officeDocument/2006/relationships/image" Target="../media/image17.emf"/><Relationship Id="rId15" Type="http://schemas.openxmlformats.org/officeDocument/2006/relationships/image" Target="../media/image7.emf"/><Relationship Id="rId10" Type="http://schemas.openxmlformats.org/officeDocument/2006/relationships/image" Target="../media/image12.emf"/><Relationship Id="rId19" Type="http://schemas.openxmlformats.org/officeDocument/2006/relationships/image" Target="../media/image3.emf"/><Relationship Id="rId4" Type="http://schemas.openxmlformats.org/officeDocument/2006/relationships/image" Target="../media/image18.emf"/><Relationship Id="rId9" Type="http://schemas.openxmlformats.org/officeDocument/2006/relationships/image" Target="../media/image13.emf"/><Relationship Id="rId14"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editAs="oneCell">
    <xdr:from>
      <xdr:col>1</xdr:col>
      <xdr:colOff>144780</xdr:colOff>
      <xdr:row>6</xdr:row>
      <xdr:rowOff>60960</xdr:rowOff>
    </xdr:from>
    <xdr:to>
      <xdr:col>8</xdr:col>
      <xdr:colOff>441960</xdr:colOff>
      <xdr:row>8</xdr:row>
      <xdr:rowOff>30480</xdr:rowOff>
    </xdr:to>
    <xdr:pic>
      <xdr:nvPicPr>
        <xdr:cNvPr id="11297" name="Picture 1031">
          <a:extLst>
            <a:ext uri="{FF2B5EF4-FFF2-40B4-BE49-F238E27FC236}">
              <a16:creationId xmlns:a16="http://schemas.microsoft.com/office/drawing/2014/main" id="{E57CFCAA-6ADF-057C-5DD0-92B255F7BE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 y="1546860"/>
          <a:ext cx="4671060" cy="2948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77</xdr:row>
      <xdr:rowOff>0</xdr:rowOff>
    </xdr:from>
    <xdr:to>
      <xdr:col>7</xdr:col>
      <xdr:colOff>693420</xdr:colOff>
      <xdr:row>77</xdr:row>
      <xdr:rowOff>2346960</xdr:rowOff>
    </xdr:to>
    <xdr:graphicFrame macro="">
      <xdr:nvGraphicFramePr>
        <xdr:cNvPr id="1519" name="Chart 47">
          <a:extLst>
            <a:ext uri="{FF2B5EF4-FFF2-40B4-BE49-F238E27FC236}">
              <a16:creationId xmlns:a16="http://schemas.microsoft.com/office/drawing/2014/main" id="{06C8AF1F-DD42-DE05-E50C-9418CDE469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114300</xdr:colOff>
      <xdr:row>62</xdr:row>
      <xdr:rowOff>68580</xdr:rowOff>
    </xdr:from>
    <xdr:to>
      <xdr:col>4</xdr:col>
      <xdr:colOff>1158240</xdr:colOff>
      <xdr:row>68</xdr:row>
      <xdr:rowOff>45720</xdr:rowOff>
    </xdr:to>
    <xdr:pic>
      <xdr:nvPicPr>
        <xdr:cNvPr id="1520" name="Picture 49">
          <a:extLst>
            <a:ext uri="{FF2B5EF4-FFF2-40B4-BE49-F238E27FC236}">
              <a16:creationId xmlns:a16="http://schemas.microsoft.com/office/drawing/2014/main" id="{78868110-805B-77EF-53ED-1C0163D671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63540" y="12031980"/>
          <a:ext cx="104394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77</xdr:row>
      <xdr:rowOff>15240</xdr:rowOff>
    </xdr:from>
    <xdr:to>
      <xdr:col>3</xdr:col>
      <xdr:colOff>518160</xdr:colOff>
      <xdr:row>77</xdr:row>
      <xdr:rowOff>2293620</xdr:rowOff>
    </xdr:to>
    <xdr:graphicFrame macro="">
      <xdr:nvGraphicFramePr>
        <xdr:cNvPr id="1521" name="Chart 195">
          <a:extLst>
            <a:ext uri="{FF2B5EF4-FFF2-40B4-BE49-F238E27FC236}">
              <a16:creationId xmlns:a16="http://schemas.microsoft.com/office/drawing/2014/main" id="{4D548D0D-7261-C3A7-89F7-D7442179EE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899160</xdr:colOff>
      <xdr:row>5</xdr:row>
      <xdr:rowOff>57150</xdr:rowOff>
    </xdr:from>
    <xdr:to>
      <xdr:col>4</xdr:col>
      <xdr:colOff>662948</xdr:colOff>
      <xdr:row>5</xdr:row>
      <xdr:rowOff>247650</xdr:rowOff>
    </xdr:to>
    <xdr:sp macro="" textlink="">
      <xdr:nvSpPr>
        <xdr:cNvPr id="1222" name="Text Box 198">
          <a:extLst>
            <a:ext uri="{FF2B5EF4-FFF2-40B4-BE49-F238E27FC236}">
              <a16:creationId xmlns:a16="http://schemas.microsoft.com/office/drawing/2014/main" id="{1BBBAAD2-5836-1B54-E112-44E333A479CC}"/>
            </a:ext>
          </a:extLst>
        </xdr:cNvPr>
        <xdr:cNvSpPr txBox="1">
          <a:spLocks noChangeArrowheads="1"/>
        </xdr:cNvSpPr>
      </xdr:nvSpPr>
      <xdr:spPr bwMode="auto">
        <a:xfrm>
          <a:off x="4600575" y="1276350"/>
          <a:ext cx="1247775" cy="190500"/>
        </a:xfrm>
        <a:prstGeom prst="rect">
          <a:avLst/>
        </a:prstGeom>
        <a:noFill/>
        <a:ln w="9525">
          <a:no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User Enter Value</a:t>
          </a:r>
        </a:p>
      </xdr:txBody>
    </xdr:sp>
    <xdr:clientData/>
  </xdr:twoCellAnchor>
  <xdr:twoCellAnchor editAs="oneCell">
    <xdr:from>
      <xdr:col>4</xdr:col>
      <xdr:colOff>1777365</xdr:colOff>
      <xdr:row>5</xdr:row>
      <xdr:rowOff>57150</xdr:rowOff>
    </xdr:from>
    <xdr:to>
      <xdr:col>5</xdr:col>
      <xdr:colOff>878249</xdr:colOff>
      <xdr:row>5</xdr:row>
      <xdr:rowOff>276225</xdr:rowOff>
    </xdr:to>
    <xdr:sp macro="" textlink="">
      <xdr:nvSpPr>
        <xdr:cNvPr id="1223" name="Text Box 199">
          <a:extLst>
            <a:ext uri="{FF2B5EF4-FFF2-40B4-BE49-F238E27FC236}">
              <a16:creationId xmlns:a16="http://schemas.microsoft.com/office/drawing/2014/main" id="{0B95D144-CD19-92EB-42F9-A0C55537EC40}"/>
            </a:ext>
          </a:extLst>
        </xdr:cNvPr>
        <xdr:cNvSpPr txBox="1">
          <a:spLocks noChangeArrowheads="1"/>
        </xdr:cNvSpPr>
      </xdr:nvSpPr>
      <xdr:spPr bwMode="auto">
        <a:xfrm>
          <a:off x="6924675" y="1276350"/>
          <a:ext cx="1333500" cy="21907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Calculated Value</a:t>
          </a:r>
        </a:p>
      </xdr:txBody>
    </xdr:sp>
    <xdr:clientData/>
  </xdr:twoCellAnchor>
  <xdr:twoCellAnchor editAs="oneCell">
    <xdr:from>
      <xdr:col>0</xdr:col>
      <xdr:colOff>114300</xdr:colOff>
      <xdr:row>63</xdr:row>
      <xdr:rowOff>30480</xdr:rowOff>
    </xdr:from>
    <xdr:to>
      <xdr:col>0</xdr:col>
      <xdr:colOff>1051560</xdr:colOff>
      <xdr:row>68</xdr:row>
      <xdr:rowOff>22860</xdr:rowOff>
    </xdr:to>
    <xdr:pic>
      <xdr:nvPicPr>
        <xdr:cNvPr id="1524" name="Picture 226">
          <a:extLst>
            <a:ext uri="{FF2B5EF4-FFF2-40B4-BE49-F238E27FC236}">
              <a16:creationId xmlns:a16="http://schemas.microsoft.com/office/drawing/2014/main" id="{88751E35-CD53-E869-94D4-13B41061B13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14300" y="12192000"/>
          <a:ext cx="937260" cy="1127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876300</xdr:colOff>
      <xdr:row>5</xdr:row>
      <xdr:rowOff>7620</xdr:rowOff>
    </xdr:from>
    <xdr:to>
      <xdr:col>6</xdr:col>
      <xdr:colOff>60960</xdr:colOff>
      <xdr:row>5</xdr:row>
      <xdr:rowOff>266700</xdr:rowOff>
    </xdr:to>
    <xdr:sp macro="" textlink="">
      <xdr:nvSpPr>
        <xdr:cNvPr id="1525" name="Rectangle 232">
          <a:extLst>
            <a:ext uri="{FF2B5EF4-FFF2-40B4-BE49-F238E27FC236}">
              <a16:creationId xmlns:a16="http://schemas.microsoft.com/office/drawing/2014/main" id="{72C5564F-0004-8C11-C69E-AEEF99E829DF}"/>
            </a:ext>
          </a:extLst>
        </xdr:cNvPr>
        <xdr:cNvSpPr>
          <a:spLocks noChangeArrowheads="1"/>
        </xdr:cNvSpPr>
      </xdr:nvSpPr>
      <xdr:spPr bwMode="auto">
        <a:xfrm>
          <a:off x="8496300" y="1226820"/>
          <a:ext cx="861060" cy="259080"/>
        </a:xfrm>
        <a:prstGeom prst="rect">
          <a:avLst/>
        </a:prstGeom>
        <a:solidFill>
          <a:srgbClr val="CCFFCC"/>
        </a:solidFill>
        <a:ln w="9525">
          <a:solidFill>
            <a:srgbClr val="C0C0C0"/>
          </a:solidFill>
          <a:miter lim="800000"/>
          <a:headEnd/>
          <a:tailEnd/>
        </a:ln>
      </xdr:spPr>
    </xdr:sp>
    <xdr:clientData/>
  </xdr:twoCellAnchor>
  <xdr:twoCellAnchor>
    <xdr:from>
      <xdr:col>2</xdr:col>
      <xdr:colOff>30480</xdr:colOff>
      <xdr:row>5</xdr:row>
      <xdr:rowOff>0</xdr:rowOff>
    </xdr:from>
    <xdr:to>
      <xdr:col>2</xdr:col>
      <xdr:colOff>891540</xdr:colOff>
      <xdr:row>5</xdr:row>
      <xdr:rowOff>259080</xdr:rowOff>
    </xdr:to>
    <xdr:sp macro="" textlink="">
      <xdr:nvSpPr>
        <xdr:cNvPr id="1526" name="Rectangle 233">
          <a:extLst>
            <a:ext uri="{FF2B5EF4-FFF2-40B4-BE49-F238E27FC236}">
              <a16:creationId xmlns:a16="http://schemas.microsoft.com/office/drawing/2014/main" id="{A614DADD-A7C1-D8B5-8FF0-2FF1B80A1C49}"/>
            </a:ext>
          </a:extLst>
        </xdr:cNvPr>
        <xdr:cNvSpPr>
          <a:spLocks noChangeArrowheads="1"/>
        </xdr:cNvSpPr>
      </xdr:nvSpPr>
      <xdr:spPr bwMode="auto">
        <a:xfrm>
          <a:off x="3863340" y="1219200"/>
          <a:ext cx="861060" cy="259080"/>
        </a:xfrm>
        <a:prstGeom prst="rect">
          <a:avLst/>
        </a:prstGeom>
        <a:solidFill>
          <a:srgbClr val="CCFFFF"/>
        </a:solidFill>
        <a:ln w="9525">
          <a:solidFill>
            <a:srgbClr val="C0C0C0"/>
          </a:solidFill>
          <a:miter lim="800000"/>
          <a:headEnd/>
          <a:tailEnd/>
        </a:ln>
      </xdr:spPr>
    </xdr:sp>
    <xdr:clientData/>
  </xdr:twoCellAnchor>
  <xdr:twoCellAnchor>
    <xdr:from>
      <xdr:col>4</xdr:col>
      <xdr:colOff>853440</xdr:colOff>
      <xdr:row>5</xdr:row>
      <xdr:rowOff>0</xdr:rowOff>
    </xdr:from>
    <xdr:to>
      <xdr:col>4</xdr:col>
      <xdr:colOff>1714500</xdr:colOff>
      <xdr:row>5</xdr:row>
      <xdr:rowOff>259080</xdr:rowOff>
    </xdr:to>
    <xdr:sp macro="" textlink="">
      <xdr:nvSpPr>
        <xdr:cNvPr id="1527" name="Rectangle 234">
          <a:extLst>
            <a:ext uri="{FF2B5EF4-FFF2-40B4-BE49-F238E27FC236}">
              <a16:creationId xmlns:a16="http://schemas.microsoft.com/office/drawing/2014/main" id="{A2F6D657-BC79-E3BD-8635-63DAEFD14B32}"/>
            </a:ext>
          </a:extLst>
        </xdr:cNvPr>
        <xdr:cNvSpPr>
          <a:spLocks noChangeArrowheads="1"/>
        </xdr:cNvSpPr>
      </xdr:nvSpPr>
      <xdr:spPr bwMode="auto">
        <a:xfrm>
          <a:off x="6202680" y="1219200"/>
          <a:ext cx="861060" cy="259080"/>
        </a:xfrm>
        <a:prstGeom prst="rect">
          <a:avLst/>
        </a:prstGeom>
        <a:solidFill>
          <a:srgbClr val="FFFFCC"/>
        </a:solidFill>
        <a:ln w="9525">
          <a:solidFill>
            <a:srgbClr val="C0C0C0"/>
          </a:solidFill>
          <a:miter lim="800000"/>
          <a:headEnd/>
          <a:tailEnd/>
        </a:ln>
      </xdr:spPr>
    </xdr:sp>
    <xdr:clientData/>
  </xdr:twoCellAnchor>
  <xdr:twoCellAnchor editAs="oneCell">
    <xdr:from>
      <xdr:col>6</xdr:col>
      <xdr:colOff>104775</xdr:colOff>
      <xdr:row>5</xdr:row>
      <xdr:rowOff>28575</xdr:rowOff>
    </xdr:from>
    <xdr:to>
      <xdr:col>7</xdr:col>
      <xdr:colOff>472441</xdr:colOff>
      <xdr:row>5</xdr:row>
      <xdr:rowOff>247650</xdr:rowOff>
    </xdr:to>
    <xdr:sp macro="" textlink="">
      <xdr:nvSpPr>
        <xdr:cNvPr id="1260" name="Text Box 236">
          <a:extLst>
            <a:ext uri="{FF2B5EF4-FFF2-40B4-BE49-F238E27FC236}">
              <a16:creationId xmlns:a16="http://schemas.microsoft.com/office/drawing/2014/main" id="{DEF2A8A5-857C-9CC6-6702-10DF45591D03}"/>
            </a:ext>
          </a:extLst>
        </xdr:cNvPr>
        <xdr:cNvSpPr txBox="1">
          <a:spLocks noChangeArrowheads="1"/>
        </xdr:cNvSpPr>
      </xdr:nvSpPr>
      <xdr:spPr bwMode="auto">
        <a:xfrm>
          <a:off x="9144000" y="1247775"/>
          <a:ext cx="1333500" cy="21907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Datasheet Spec</a:t>
          </a:r>
        </a:p>
      </xdr:txBody>
    </xdr:sp>
    <xdr:clientData/>
  </xdr:twoCellAnchor>
  <mc:AlternateContent xmlns:mc="http://schemas.openxmlformats.org/markup-compatibility/2006">
    <mc:Choice xmlns:a14="http://schemas.microsoft.com/office/drawing/2010/main" Requires="a14">
      <xdr:twoCellAnchor>
        <xdr:from>
          <xdr:col>4</xdr:col>
          <xdr:colOff>1249680</xdr:colOff>
          <xdr:row>55</xdr:row>
          <xdr:rowOff>198120</xdr:rowOff>
        </xdr:from>
        <xdr:to>
          <xdr:col>4</xdr:col>
          <xdr:colOff>2255520</xdr:colOff>
          <xdr:row>55</xdr:row>
          <xdr:rowOff>198120</xdr:rowOff>
        </xdr:to>
        <xdr:sp macro="" textlink="">
          <xdr:nvSpPr>
            <xdr:cNvPr id="1039" name="TextRs" hidden="1">
              <a:extLst>
                <a:ext uri="{63B3BB69-23CF-44E3-9099-C40C66FF867C}">
                  <a14:compatExt spid="_x0000_s1039"/>
                </a:ext>
                <a:ext uri="{FF2B5EF4-FFF2-40B4-BE49-F238E27FC236}">
                  <a16:creationId xmlns:a16="http://schemas.microsoft.com/office/drawing/2014/main" id="{21E31C38-ACF1-104E-7403-4A5AE50E05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56</xdr:row>
          <xdr:rowOff>15240</xdr:rowOff>
        </xdr:from>
        <xdr:to>
          <xdr:col>4</xdr:col>
          <xdr:colOff>2103120</xdr:colOff>
          <xdr:row>57</xdr:row>
          <xdr:rowOff>15240</xdr:rowOff>
        </xdr:to>
        <xdr:sp macro="" textlink="">
          <xdr:nvSpPr>
            <xdr:cNvPr id="1050" name="CheckBox1" hidden="1">
              <a:extLst>
                <a:ext uri="{63B3BB69-23CF-44E3-9099-C40C66FF867C}">
                  <a14:compatExt spid="_x0000_s1050"/>
                </a:ext>
                <a:ext uri="{FF2B5EF4-FFF2-40B4-BE49-F238E27FC236}">
                  <a16:creationId xmlns:a16="http://schemas.microsoft.com/office/drawing/2014/main" id="{6B5882EB-A806-B98E-43AC-20FEE15CF0AB}"/>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68</xdr:row>
          <xdr:rowOff>30480</xdr:rowOff>
        </xdr:from>
        <xdr:to>
          <xdr:col>2</xdr:col>
          <xdr:colOff>0</xdr:colOff>
          <xdr:row>68</xdr:row>
          <xdr:rowOff>228600</xdr:rowOff>
        </xdr:to>
        <xdr:sp macro="" textlink="">
          <xdr:nvSpPr>
            <xdr:cNvPr id="1077" name="C1B" hidden="1">
              <a:extLst>
                <a:ext uri="{63B3BB69-23CF-44E3-9099-C40C66FF867C}">
                  <a14:compatExt spid="_x0000_s1077"/>
                </a:ext>
                <a:ext uri="{FF2B5EF4-FFF2-40B4-BE49-F238E27FC236}">
                  <a16:creationId xmlns:a16="http://schemas.microsoft.com/office/drawing/2014/main" id="{072BCA52-133A-818B-86ED-E324D9FFE77A}"/>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22860</xdr:colOff>
          <xdr:row>66</xdr:row>
          <xdr:rowOff>7620</xdr:rowOff>
        </xdr:from>
        <xdr:to>
          <xdr:col>6</xdr:col>
          <xdr:colOff>22860</xdr:colOff>
          <xdr:row>67</xdr:row>
          <xdr:rowOff>7620</xdr:rowOff>
        </xdr:to>
        <xdr:sp macro="" textlink="">
          <xdr:nvSpPr>
            <xdr:cNvPr id="1079" name="RthB" hidden="1">
              <a:extLst>
                <a:ext uri="{63B3BB69-23CF-44E3-9099-C40C66FF867C}">
                  <a14:compatExt spid="_x0000_s1079"/>
                </a:ext>
                <a:ext uri="{FF2B5EF4-FFF2-40B4-BE49-F238E27FC236}">
                  <a16:creationId xmlns:a16="http://schemas.microsoft.com/office/drawing/2014/main" id="{DCE072BE-BBDB-9D34-D316-588FED7009DF}"/>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xdr:colOff>
          <xdr:row>68</xdr:row>
          <xdr:rowOff>0</xdr:rowOff>
        </xdr:from>
        <xdr:to>
          <xdr:col>6</xdr:col>
          <xdr:colOff>7620</xdr:colOff>
          <xdr:row>69</xdr:row>
          <xdr:rowOff>0</xdr:rowOff>
        </xdr:to>
        <xdr:sp macro="" textlink="">
          <xdr:nvSpPr>
            <xdr:cNvPr id="1080" name="CthpB" hidden="1">
              <a:extLst>
                <a:ext uri="{63B3BB69-23CF-44E3-9099-C40C66FF867C}">
                  <a14:compatExt spid="_x0000_s1080"/>
                </a:ext>
                <a:ext uri="{FF2B5EF4-FFF2-40B4-BE49-F238E27FC236}">
                  <a16:creationId xmlns:a16="http://schemas.microsoft.com/office/drawing/2014/main" id="{6633976B-AA55-6339-43B3-EEB2DFDDC3AB}"/>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74</xdr:row>
          <xdr:rowOff>7620</xdr:rowOff>
        </xdr:from>
        <xdr:to>
          <xdr:col>2</xdr:col>
          <xdr:colOff>0</xdr:colOff>
          <xdr:row>75</xdr:row>
          <xdr:rowOff>7620</xdr:rowOff>
        </xdr:to>
        <xdr:sp macro="" textlink="">
          <xdr:nvSpPr>
            <xdr:cNvPr id="1124" name="VinB" hidden="1">
              <a:extLst>
                <a:ext uri="{63B3BB69-23CF-44E3-9099-C40C66FF867C}">
                  <a14:compatExt spid="_x0000_s1124"/>
                </a:ext>
                <a:ext uri="{FF2B5EF4-FFF2-40B4-BE49-F238E27FC236}">
                  <a16:creationId xmlns:a16="http://schemas.microsoft.com/office/drawing/2014/main" id="{81C9A6D4-9CDA-C3F9-DA87-93FEFEAA01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73</xdr:row>
          <xdr:rowOff>198120</xdr:rowOff>
        </xdr:from>
        <xdr:to>
          <xdr:col>6</xdr:col>
          <xdr:colOff>0</xdr:colOff>
          <xdr:row>74</xdr:row>
          <xdr:rowOff>198120</xdr:rowOff>
        </xdr:to>
        <xdr:sp macro="" textlink="">
          <xdr:nvSpPr>
            <xdr:cNvPr id="1125" name="IoB" hidden="1">
              <a:extLst>
                <a:ext uri="{63B3BB69-23CF-44E3-9099-C40C66FF867C}">
                  <a14:compatExt spid="_x0000_s1125"/>
                </a:ext>
                <a:ext uri="{FF2B5EF4-FFF2-40B4-BE49-F238E27FC236}">
                  <a16:creationId xmlns:a16="http://schemas.microsoft.com/office/drawing/2014/main" id="{A92C827B-8DB0-EC5B-4090-30F1F29D23C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182880</xdr:colOff>
          <xdr:row>55</xdr:row>
          <xdr:rowOff>182880</xdr:rowOff>
        </xdr:from>
        <xdr:to>
          <xdr:col>5</xdr:col>
          <xdr:colOff>1043940</xdr:colOff>
          <xdr:row>55</xdr:row>
          <xdr:rowOff>182880</xdr:rowOff>
        </xdr:to>
        <xdr:sp macro="" textlink="">
          <xdr:nvSpPr>
            <xdr:cNvPr id="1133" name="IoT" hidden="1">
              <a:extLst>
                <a:ext uri="{63B3BB69-23CF-44E3-9099-C40C66FF867C}">
                  <a14:compatExt spid="_x0000_s1133"/>
                </a:ext>
                <a:ext uri="{FF2B5EF4-FFF2-40B4-BE49-F238E27FC236}">
                  <a16:creationId xmlns:a16="http://schemas.microsoft.com/office/drawing/2014/main" id="{9EC27080-ABAD-10FA-398D-07775D86989D}"/>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457200</xdr:colOff>
          <xdr:row>51</xdr:row>
          <xdr:rowOff>182880</xdr:rowOff>
        </xdr:from>
        <xdr:to>
          <xdr:col>1</xdr:col>
          <xdr:colOff>1531620</xdr:colOff>
          <xdr:row>53</xdr:row>
          <xdr:rowOff>0</xdr:rowOff>
        </xdr:to>
        <xdr:sp macro="" textlink="">
          <xdr:nvSpPr>
            <xdr:cNvPr id="1134" name="RthT" hidden="1">
              <a:extLst>
                <a:ext uri="{63B3BB69-23CF-44E3-9099-C40C66FF867C}">
                  <a14:compatExt spid="_x0000_s1134"/>
                </a:ext>
                <a:ext uri="{FF2B5EF4-FFF2-40B4-BE49-F238E27FC236}">
                  <a16:creationId xmlns:a16="http://schemas.microsoft.com/office/drawing/2014/main" id="{5EB2FDA9-50A9-FFCC-908F-5D2985B296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1569720</xdr:colOff>
          <xdr:row>55</xdr:row>
          <xdr:rowOff>38100</xdr:rowOff>
        </xdr:from>
        <xdr:to>
          <xdr:col>6</xdr:col>
          <xdr:colOff>861060</xdr:colOff>
          <xdr:row>55</xdr:row>
          <xdr:rowOff>342900</xdr:rowOff>
        </xdr:to>
        <xdr:sp macro="" textlink="">
          <xdr:nvSpPr>
            <xdr:cNvPr id="1135" name="Reset" hidden="1">
              <a:extLst>
                <a:ext uri="{63B3BB69-23CF-44E3-9099-C40C66FF867C}">
                  <a14:compatExt spid="_x0000_s1135"/>
                </a:ext>
                <a:ext uri="{FF2B5EF4-FFF2-40B4-BE49-F238E27FC236}">
                  <a16:creationId xmlns:a16="http://schemas.microsoft.com/office/drawing/2014/main" id="{BE511EF0-EF3C-4FD6-9D1F-E02F5089D13C}"/>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64</xdr:row>
          <xdr:rowOff>7620</xdr:rowOff>
        </xdr:from>
        <xdr:to>
          <xdr:col>6</xdr:col>
          <xdr:colOff>0</xdr:colOff>
          <xdr:row>65</xdr:row>
          <xdr:rowOff>7620</xdr:rowOff>
        </xdr:to>
        <xdr:sp macro="" textlink="">
          <xdr:nvSpPr>
            <xdr:cNvPr id="1153" name="CthB" hidden="1">
              <a:extLst>
                <a:ext uri="{63B3BB69-23CF-44E3-9099-C40C66FF867C}">
                  <a14:compatExt spid="_x0000_s1153"/>
                </a:ext>
                <a:ext uri="{FF2B5EF4-FFF2-40B4-BE49-F238E27FC236}">
                  <a16:creationId xmlns:a16="http://schemas.microsoft.com/office/drawing/2014/main" id="{A7D986B1-30F1-1232-0AE5-2AB7BB7304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114300</xdr:colOff>
          <xdr:row>51</xdr:row>
          <xdr:rowOff>190500</xdr:rowOff>
        </xdr:from>
        <xdr:to>
          <xdr:col>0</xdr:col>
          <xdr:colOff>1264920</xdr:colOff>
          <xdr:row>53</xdr:row>
          <xdr:rowOff>15240</xdr:rowOff>
        </xdr:to>
        <xdr:sp macro="" textlink="">
          <xdr:nvSpPr>
            <xdr:cNvPr id="1168" name="VinT" hidden="1">
              <a:extLst>
                <a:ext uri="{63B3BB69-23CF-44E3-9099-C40C66FF867C}">
                  <a14:compatExt spid="_x0000_s1168"/>
                </a:ext>
                <a:ext uri="{FF2B5EF4-FFF2-40B4-BE49-F238E27FC236}">
                  <a16:creationId xmlns:a16="http://schemas.microsoft.com/office/drawing/2014/main" id="{2EDFB346-CB9B-1B76-F7D0-1D04CACEB9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624840</xdr:colOff>
          <xdr:row>6</xdr:row>
          <xdr:rowOff>30480</xdr:rowOff>
        </xdr:from>
        <xdr:to>
          <xdr:col>5</xdr:col>
          <xdr:colOff>1470660</xdr:colOff>
          <xdr:row>7</xdr:row>
          <xdr:rowOff>15240</xdr:rowOff>
        </xdr:to>
        <xdr:sp macro="" textlink="">
          <xdr:nvSpPr>
            <xdr:cNvPr id="1216" name="Efs" hidden="1">
              <a:extLst>
                <a:ext uri="{63B3BB69-23CF-44E3-9099-C40C66FF867C}">
                  <a14:compatExt spid="_x0000_s1216"/>
                </a:ext>
                <a:ext uri="{FF2B5EF4-FFF2-40B4-BE49-F238E27FC236}">
                  <a16:creationId xmlns:a16="http://schemas.microsoft.com/office/drawing/2014/main" id="{34F12C0B-34C6-8BC8-59CC-87E446DD2C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1706880</xdr:colOff>
          <xdr:row>6</xdr:row>
          <xdr:rowOff>22860</xdr:rowOff>
        </xdr:from>
        <xdr:to>
          <xdr:col>5</xdr:col>
          <xdr:colOff>60960</xdr:colOff>
          <xdr:row>7</xdr:row>
          <xdr:rowOff>30480</xdr:rowOff>
        </xdr:to>
        <xdr:sp macro="" textlink="">
          <xdr:nvSpPr>
            <xdr:cNvPr id="1217" name="Rfs" hidden="1">
              <a:extLst>
                <a:ext uri="{63B3BB69-23CF-44E3-9099-C40C66FF867C}">
                  <a14:compatExt spid="_x0000_s1217"/>
                </a:ext>
                <a:ext uri="{FF2B5EF4-FFF2-40B4-BE49-F238E27FC236}">
                  <a16:creationId xmlns:a16="http://schemas.microsoft.com/office/drawing/2014/main" id="{73BAAC10-9F79-57F9-81F2-0501A65CEB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2133600</xdr:colOff>
          <xdr:row>51</xdr:row>
          <xdr:rowOff>190500</xdr:rowOff>
        </xdr:from>
        <xdr:to>
          <xdr:col>3</xdr:col>
          <xdr:colOff>114300</xdr:colOff>
          <xdr:row>53</xdr:row>
          <xdr:rowOff>0</xdr:rowOff>
        </xdr:to>
        <xdr:sp macro="" textlink="">
          <xdr:nvSpPr>
            <xdr:cNvPr id="1230" name="TextBox2" hidden="1">
              <a:extLst>
                <a:ext uri="{63B3BB69-23CF-44E3-9099-C40C66FF867C}">
                  <a14:compatExt spid="_x0000_s1230"/>
                </a:ext>
                <a:ext uri="{FF2B5EF4-FFF2-40B4-BE49-F238E27FC236}">
                  <a16:creationId xmlns:a16="http://schemas.microsoft.com/office/drawing/2014/main" id="{77551680-64BC-3B1D-51A0-8B2D5EB9C2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502920</xdr:colOff>
          <xdr:row>30</xdr:row>
          <xdr:rowOff>7620</xdr:rowOff>
        </xdr:from>
        <xdr:to>
          <xdr:col>0</xdr:col>
          <xdr:colOff>1463040</xdr:colOff>
          <xdr:row>30</xdr:row>
          <xdr:rowOff>274320</xdr:rowOff>
        </xdr:to>
        <xdr:sp macro="" textlink="">
          <xdr:nvSpPr>
            <xdr:cNvPr id="1239" name="Vin" hidden="1">
              <a:extLst>
                <a:ext uri="{63B3BB69-23CF-44E3-9099-C40C66FF867C}">
                  <a14:compatExt spid="_x0000_s1239"/>
                </a:ext>
                <a:ext uri="{FF2B5EF4-FFF2-40B4-BE49-F238E27FC236}">
                  <a16:creationId xmlns:a16="http://schemas.microsoft.com/office/drawing/2014/main" id="{B3E5704E-F749-13FC-22FD-1F99116A252E}"/>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541020</xdr:colOff>
          <xdr:row>30</xdr:row>
          <xdr:rowOff>22860</xdr:rowOff>
        </xdr:from>
        <xdr:to>
          <xdr:col>1</xdr:col>
          <xdr:colOff>1463040</xdr:colOff>
          <xdr:row>30</xdr:row>
          <xdr:rowOff>289560</xdr:rowOff>
        </xdr:to>
        <xdr:sp macro="" textlink="">
          <xdr:nvSpPr>
            <xdr:cNvPr id="1240" name="Vo" hidden="1">
              <a:extLst>
                <a:ext uri="{63B3BB69-23CF-44E3-9099-C40C66FF867C}">
                  <a14:compatExt spid="_x0000_s1240"/>
                </a:ext>
                <a:ext uri="{FF2B5EF4-FFF2-40B4-BE49-F238E27FC236}">
                  <a16:creationId xmlns:a16="http://schemas.microsoft.com/office/drawing/2014/main" id="{BE795780-68E3-9708-A5A4-DDFAA6CD12CA}"/>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30</xdr:row>
          <xdr:rowOff>22860</xdr:rowOff>
        </xdr:from>
        <xdr:to>
          <xdr:col>3</xdr:col>
          <xdr:colOff>320040</xdr:colOff>
          <xdr:row>30</xdr:row>
          <xdr:rowOff>289560</xdr:rowOff>
        </xdr:to>
        <xdr:sp macro="" textlink="">
          <xdr:nvSpPr>
            <xdr:cNvPr id="1241" name="Other" hidden="1">
              <a:extLst>
                <a:ext uri="{63B3BB69-23CF-44E3-9099-C40C66FF867C}">
                  <a14:compatExt spid="_x0000_s1241"/>
                </a:ext>
                <a:ext uri="{FF2B5EF4-FFF2-40B4-BE49-F238E27FC236}">
                  <a16:creationId xmlns:a16="http://schemas.microsoft.com/office/drawing/2014/main" id="{B6552E68-13DE-213D-20C1-3904AE4D3BCB}"/>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70</xdr:row>
          <xdr:rowOff>30480</xdr:rowOff>
        </xdr:from>
        <xdr:to>
          <xdr:col>1</xdr:col>
          <xdr:colOff>2202180</xdr:colOff>
          <xdr:row>70</xdr:row>
          <xdr:rowOff>236220</xdr:rowOff>
        </xdr:to>
        <xdr:sp macro="" textlink="">
          <xdr:nvSpPr>
            <xdr:cNvPr id="1251" name="C2B" hidden="1">
              <a:extLst>
                <a:ext uri="{63B3BB69-23CF-44E3-9099-C40C66FF867C}">
                  <a14:compatExt spid="_x0000_s1251"/>
                </a:ext>
                <a:ext uri="{FF2B5EF4-FFF2-40B4-BE49-F238E27FC236}">
                  <a16:creationId xmlns:a16="http://schemas.microsoft.com/office/drawing/2014/main" id="{63ABA4CD-FFFC-4C06-D10C-5B3EC01152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xdr:row>
          <xdr:rowOff>22860</xdr:rowOff>
        </xdr:from>
        <xdr:to>
          <xdr:col>2</xdr:col>
          <xdr:colOff>30480</xdr:colOff>
          <xdr:row>1</xdr:row>
          <xdr:rowOff>236220</xdr:rowOff>
        </xdr:to>
        <xdr:sp macro="" textlink="">
          <xdr:nvSpPr>
            <xdr:cNvPr id="1252" name="ComboBox1" hidden="1">
              <a:extLst>
                <a:ext uri="{63B3BB69-23CF-44E3-9099-C40C66FF867C}">
                  <a14:compatExt spid="_x0000_s1252"/>
                </a:ext>
                <a:ext uri="{FF2B5EF4-FFF2-40B4-BE49-F238E27FC236}">
                  <a16:creationId xmlns:a16="http://schemas.microsoft.com/office/drawing/2014/main" id="{CC5C2436-75B7-5579-1CBD-ED311986C54F}"/>
                </a:ext>
              </a:extLst>
            </xdr:cNvPr>
            <xdr:cNvSpPr/>
          </xdr:nvSpPr>
          <xdr:spPr bwMode="auto">
            <a:xfrm>
              <a:off x="0" y="0"/>
              <a:ext cx="0" cy="0"/>
            </a:xfrm>
            <a:prstGeom prst="rect">
              <a:avLst/>
            </a:prstGeom>
            <a:noFill/>
            <a:ln>
              <a:noFill/>
            </a:ln>
            <a:effectLst/>
            <a:extLst>
              <a:ext uri="{909E8E84-426E-40DD-AFC4-6F175D3DCCD1}">
                <a14:hiddenFill>
                  <a:noFill/>
                </a14:hiddenFill>
              </a:ext>
              <a:ext uri="{91240B29-F687-4F45-9708-019B960494DF}">
                <a14:hiddenLine w="1">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CCFFFF"/>
        </a:solidFill>
        <a:ln w="9525" cap="flat" cmpd="sng" algn="ctr">
          <a:solidFill>
            <a:srgbClr val="C0C0C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CCFFFF"/>
        </a:solidFill>
        <a:ln w="9525" cap="flat" cmpd="sng" algn="ctr">
          <a:solidFill>
            <a:srgbClr val="C0C0C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3" Type="http://schemas.openxmlformats.org/officeDocument/2006/relationships/image" Target="../media/image6.emf"/><Relationship Id="rId18" Type="http://schemas.openxmlformats.org/officeDocument/2006/relationships/control" Target="../activeX/activeX8.xml"/><Relationship Id="rId26" Type="http://schemas.openxmlformats.org/officeDocument/2006/relationships/control" Target="../activeX/activeX12.xml"/><Relationship Id="rId39" Type="http://schemas.openxmlformats.org/officeDocument/2006/relationships/image" Target="../media/image19.emf"/><Relationship Id="rId21" Type="http://schemas.openxmlformats.org/officeDocument/2006/relationships/image" Target="../media/image10.emf"/><Relationship Id="rId34" Type="http://schemas.openxmlformats.org/officeDocument/2006/relationships/control" Target="../activeX/activeX16.xml"/><Relationship Id="rId42" Type="http://schemas.openxmlformats.org/officeDocument/2006/relationships/control" Target="../activeX/activeX20.xml"/><Relationship Id="rId7" Type="http://schemas.openxmlformats.org/officeDocument/2006/relationships/image" Target="../media/image3.emf"/><Relationship Id="rId2" Type="http://schemas.openxmlformats.org/officeDocument/2006/relationships/drawing" Target="../drawings/drawing2.xml"/><Relationship Id="rId16" Type="http://schemas.openxmlformats.org/officeDocument/2006/relationships/control" Target="../activeX/activeX7.xml"/><Relationship Id="rId20" Type="http://schemas.openxmlformats.org/officeDocument/2006/relationships/control" Target="../activeX/activeX9.xml"/><Relationship Id="rId29" Type="http://schemas.openxmlformats.org/officeDocument/2006/relationships/image" Target="../media/image14.emf"/><Relationship Id="rId41" Type="http://schemas.openxmlformats.org/officeDocument/2006/relationships/image" Target="../media/image20.emf"/><Relationship Id="rId1" Type="http://schemas.openxmlformats.org/officeDocument/2006/relationships/printerSettings" Target="../printerSettings/printerSettings3.bin"/><Relationship Id="rId6" Type="http://schemas.openxmlformats.org/officeDocument/2006/relationships/control" Target="../activeX/activeX2.xml"/><Relationship Id="rId11" Type="http://schemas.openxmlformats.org/officeDocument/2006/relationships/image" Target="../media/image5.emf"/><Relationship Id="rId24" Type="http://schemas.openxmlformats.org/officeDocument/2006/relationships/control" Target="../activeX/activeX11.xml"/><Relationship Id="rId32" Type="http://schemas.openxmlformats.org/officeDocument/2006/relationships/control" Target="../activeX/activeX15.xml"/><Relationship Id="rId37" Type="http://schemas.openxmlformats.org/officeDocument/2006/relationships/image" Target="../media/image18.emf"/><Relationship Id="rId40" Type="http://schemas.openxmlformats.org/officeDocument/2006/relationships/control" Target="../activeX/activeX19.xml"/><Relationship Id="rId5" Type="http://schemas.openxmlformats.org/officeDocument/2006/relationships/image" Target="../media/image2.emf"/><Relationship Id="rId15" Type="http://schemas.openxmlformats.org/officeDocument/2006/relationships/image" Target="../media/image7.emf"/><Relationship Id="rId23" Type="http://schemas.openxmlformats.org/officeDocument/2006/relationships/image" Target="../media/image11.emf"/><Relationship Id="rId28" Type="http://schemas.openxmlformats.org/officeDocument/2006/relationships/control" Target="../activeX/activeX13.xml"/><Relationship Id="rId36" Type="http://schemas.openxmlformats.org/officeDocument/2006/relationships/control" Target="../activeX/activeX17.xml"/><Relationship Id="rId10" Type="http://schemas.openxmlformats.org/officeDocument/2006/relationships/control" Target="../activeX/activeX4.xml"/><Relationship Id="rId19" Type="http://schemas.openxmlformats.org/officeDocument/2006/relationships/image" Target="../media/image9.emf"/><Relationship Id="rId31" Type="http://schemas.openxmlformats.org/officeDocument/2006/relationships/image" Target="../media/image15.emf"/><Relationship Id="rId44" Type="http://schemas.openxmlformats.org/officeDocument/2006/relationships/comments" Target="../comments1.xml"/><Relationship Id="rId4" Type="http://schemas.openxmlformats.org/officeDocument/2006/relationships/control" Target="../activeX/activeX1.xml"/><Relationship Id="rId9" Type="http://schemas.openxmlformats.org/officeDocument/2006/relationships/image" Target="../media/image4.emf"/><Relationship Id="rId14" Type="http://schemas.openxmlformats.org/officeDocument/2006/relationships/control" Target="../activeX/activeX6.xml"/><Relationship Id="rId22" Type="http://schemas.openxmlformats.org/officeDocument/2006/relationships/control" Target="../activeX/activeX10.xml"/><Relationship Id="rId27" Type="http://schemas.openxmlformats.org/officeDocument/2006/relationships/image" Target="../media/image13.emf"/><Relationship Id="rId30" Type="http://schemas.openxmlformats.org/officeDocument/2006/relationships/control" Target="../activeX/activeX14.xml"/><Relationship Id="rId35" Type="http://schemas.openxmlformats.org/officeDocument/2006/relationships/image" Target="../media/image17.emf"/><Relationship Id="rId43" Type="http://schemas.openxmlformats.org/officeDocument/2006/relationships/image" Target="../media/image21.emf"/><Relationship Id="rId8" Type="http://schemas.openxmlformats.org/officeDocument/2006/relationships/control" Target="../activeX/activeX3.xml"/><Relationship Id="rId3" Type="http://schemas.openxmlformats.org/officeDocument/2006/relationships/vmlDrawing" Target="../drawings/vmlDrawing1.vml"/><Relationship Id="rId12" Type="http://schemas.openxmlformats.org/officeDocument/2006/relationships/control" Target="../activeX/activeX5.xml"/><Relationship Id="rId17" Type="http://schemas.openxmlformats.org/officeDocument/2006/relationships/image" Target="../media/image8.emf"/><Relationship Id="rId25" Type="http://schemas.openxmlformats.org/officeDocument/2006/relationships/image" Target="../media/image12.emf"/><Relationship Id="rId33" Type="http://schemas.openxmlformats.org/officeDocument/2006/relationships/image" Target="../media/image16.emf"/><Relationship Id="rId38" Type="http://schemas.openxmlformats.org/officeDocument/2006/relationships/control" Target="../activeX/activeX18.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A2AD6-A906-4311-8901-8936C248C2E2}">
  <sheetPr codeName="Sheet2"/>
  <dimension ref="A1:K9"/>
  <sheetViews>
    <sheetView workbookViewId="0">
      <selection activeCell="M8" sqref="M8"/>
    </sheetView>
  </sheetViews>
  <sheetFormatPr defaultColWidth="9.109375" defaultRowHeight="22.8"/>
  <cols>
    <col min="1" max="9" width="9.109375" style="57"/>
    <col min="10" max="10" width="30.33203125" style="57" customWidth="1"/>
    <col min="11" max="11" width="9.109375" style="57"/>
    <col min="12" max="16384" width="9.109375" style="58"/>
  </cols>
  <sheetData>
    <row r="1" spans="1:11" ht="27" customHeight="1">
      <c r="A1" s="278" t="s">
        <v>318</v>
      </c>
      <c r="B1" s="279"/>
      <c r="C1" s="279"/>
      <c r="D1" s="279"/>
      <c r="E1" s="279"/>
      <c r="F1" s="279"/>
      <c r="G1" s="279"/>
      <c r="H1" s="279"/>
      <c r="I1" s="279"/>
      <c r="J1" s="279"/>
    </row>
    <row r="2" spans="1:11" ht="16.5" customHeight="1">
      <c r="A2" s="280" t="s">
        <v>322</v>
      </c>
      <c r="B2" s="280"/>
      <c r="C2" s="280"/>
      <c r="D2" s="280"/>
      <c r="E2" s="280"/>
      <c r="F2" s="280"/>
      <c r="G2" s="280"/>
      <c r="H2" s="280"/>
      <c r="I2" s="280"/>
      <c r="J2" s="280"/>
    </row>
    <row r="3" spans="1:11" s="60" customFormat="1" ht="14.25" customHeight="1">
      <c r="A3" s="280" t="s">
        <v>323</v>
      </c>
      <c r="B3" s="280"/>
      <c r="C3" s="280"/>
      <c r="D3" s="280"/>
      <c r="E3" s="280"/>
      <c r="F3" s="280"/>
      <c r="G3" s="280"/>
      <c r="H3" s="280"/>
      <c r="I3" s="280"/>
      <c r="J3" s="280"/>
      <c r="K3" s="59"/>
    </row>
    <row r="4" spans="1:11" s="60" customFormat="1" ht="18.75" customHeight="1">
      <c r="A4" s="280" t="s">
        <v>3</v>
      </c>
      <c r="B4" s="280"/>
      <c r="C4" s="280"/>
      <c r="D4" s="280"/>
      <c r="E4" s="280"/>
      <c r="F4" s="280"/>
      <c r="G4" s="280"/>
      <c r="H4" s="280"/>
      <c r="I4" s="280"/>
      <c r="J4" s="280"/>
      <c r="K4" s="59"/>
    </row>
    <row r="5" spans="1:11" s="60" customFormat="1" ht="16.5" customHeight="1">
      <c r="A5" s="280"/>
      <c r="B5" s="280"/>
      <c r="C5" s="280"/>
      <c r="D5" s="280"/>
      <c r="E5" s="280"/>
      <c r="F5" s="280"/>
      <c r="G5" s="280"/>
      <c r="H5" s="280"/>
      <c r="I5" s="280"/>
      <c r="J5" s="280"/>
      <c r="K5" s="59"/>
    </row>
    <row r="6" spans="1:11" s="60" customFormat="1" ht="25.5" customHeight="1">
      <c r="A6" s="282" t="s">
        <v>245</v>
      </c>
      <c r="B6" s="282"/>
      <c r="C6" s="282"/>
      <c r="D6" s="282"/>
      <c r="E6" s="282"/>
      <c r="F6" s="282"/>
      <c r="G6" s="282"/>
      <c r="H6" s="282"/>
      <c r="I6" s="282"/>
      <c r="J6" s="282"/>
      <c r="K6" s="59"/>
    </row>
    <row r="7" spans="1:11" ht="21.75" customHeight="1">
      <c r="A7" s="61"/>
      <c r="B7" s="61"/>
      <c r="C7" s="61"/>
      <c r="D7" s="61"/>
      <c r="E7" s="61"/>
      <c r="F7" s="61"/>
      <c r="G7" s="61"/>
      <c r="H7" s="61"/>
      <c r="I7" s="61"/>
      <c r="J7" s="61"/>
    </row>
    <row r="8" spans="1:11" s="65" customFormat="1" ht="213" customHeight="1">
      <c r="A8" s="62"/>
      <c r="B8" s="62"/>
      <c r="C8" s="62"/>
      <c r="D8" s="62"/>
      <c r="E8" s="63"/>
      <c r="F8" s="62"/>
      <c r="G8" s="62"/>
      <c r="H8" s="62"/>
      <c r="I8" s="62"/>
      <c r="J8" s="62"/>
      <c r="K8" s="64"/>
    </row>
    <row r="9" spans="1:11" s="65" customFormat="1" ht="226.5" customHeight="1">
      <c r="A9" s="281" t="s">
        <v>324</v>
      </c>
      <c r="B9" s="281"/>
      <c r="C9" s="281"/>
      <c r="D9" s="281"/>
      <c r="E9" s="281"/>
      <c r="F9" s="281"/>
      <c r="G9" s="281"/>
      <c r="H9" s="281"/>
      <c r="I9" s="281"/>
      <c r="J9" s="281"/>
      <c r="K9" s="64"/>
    </row>
  </sheetData>
  <sheetProtection password="944E" sheet="1" objects="1" scenarios="1"/>
  <mergeCells count="7">
    <mergeCell ref="A1:J1"/>
    <mergeCell ref="A2:J2"/>
    <mergeCell ref="A3:J3"/>
    <mergeCell ref="A9:J9"/>
    <mergeCell ref="A4:J4"/>
    <mergeCell ref="A5:J5"/>
    <mergeCell ref="A6:J6"/>
  </mergeCells>
  <phoneticPr fontId="2" type="noConversion"/>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3D58A-A131-4953-B744-B518A3741A12}">
  <sheetPr codeName="Sheet4"/>
  <dimension ref="A1:Y4"/>
  <sheetViews>
    <sheetView workbookViewId="0">
      <selection activeCell="M10" sqref="M10"/>
    </sheetView>
  </sheetViews>
  <sheetFormatPr defaultRowHeight="13.2"/>
  <cols>
    <col min="1" max="1" width="14.6640625" customWidth="1"/>
    <col min="2" max="2" width="7.5546875" customWidth="1"/>
    <col min="3" max="3" width="8" customWidth="1"/>
    <col min="4" max="4" width="15.33203125" customWidth="1"/>
    <col min="5" max="5" width="15.6640625" customWidth="1"/>
    <col min="6" max="6" width="9" customWidth="1"/>
    <col min="7" max="7" width="9.6640625" customWidth="1"/>
    <col min="8" max="8" width="14.5546875" hidden="1" customWidth="1"/>
    <col min="9" max="9" width="6.33203125" hidden="1" customWidth="1"/>
    <col min="10" max="10" width="5.6640625" hidden="1" customWidth="1"/>
    <col min="11" max="11" width="5.33203125" customWidth="1"/>
    <col min="12" max="12" width="6.33203125" customWidth="1"/>
    <col min="13" max="13" width="8.6640625" customWidth="1"/>
    <col min="14" max="14" width="7.88671875" customWidth="1"/>
    <col min="15" max="15" width="8" customWidth="1"/>
    <col min="16" max="16" width="6.5546875" customWidth="1"/>
    <col min="17" max="17" width="11.33203125" hidden="1" customWidth="1"/>
    <col min="18" max="18" width="6.44140625" customWidth="1"/>
    <col min="19" max="19" width="10.6640625" customWidth="1"/>
    <col min="20" max="20" width="5.33203125" hidden="1" customWidth="1"/>
    <col min="21" max="21" width="5.44140625" hidden="1" customWidth="1"/>
    <col min="22" max="22" width="6.88671875" customWidth="1"/>
    <col min="23" max="23" width="7" customWidth="1"/>
    <col min="24" max="24" width="8.5546875" customWidth="1"/>
    <col min="25" max="25" width="9.33203125" customWidth="1"/>
    <col min="26" max="26" width="3.44140625" customWidth="1"/>
    <col min="27" max="27" width="6.44140625" customWidth="1"/>
    <col min="28" max="30" width="4.5546875" customWidth="1"/>
    <col min="31" max="31" width="6.33203125" customWidth="1"/>
    <col min="34" max="34" width="5.109375" customWidth="1"/>
  </cols>
  <sheetData>
    <row r="1" spans="1:25" s="2" customFormat="1" ht="12.75" customHeight="1">
      <c r="A1" s="69"/>
      <c r="B1" s="283" t="s">
        <v>115</v>
      </c>
      <c r="C1" s="284"/>
      <c r="D1" s="285"/>
      <c r="E1" s="71"/>
      <c r="F1" s="71"/>
      <c r="G1" s="71"/>
      <c r="H1" s="71"/>
      <c r="I1" s="71"/>
      <c r="J1" s="71"/>
      <c r="K1" s="71"/>
      <c r="L1" s="71"/>
      <c r="M1" s="286" t="s">
        <v>116</v>
      </c>
      <c r="N1" s="287"/>
      <c r="O1" s="287"/>
      <c r="P1" s="287"/>
      <c r="Q1" s="287"/>
      <c r="R1" s="287"/>
      <c r="S1" s="288"/>
      <c r="T1" s="283" t="s">
        <v>117</v>
      </c>
      <c r="U1" s="285"/>
    </row>
    <row r="2" spans="1:25" s="2" customFormat="1" ht="38.25" customHeight="1">
      <c r="A2" s="69" t="s">
        <v>118</v>
      </c>
      <c r="B2" s="72" t="s">
        <v>119</v>
      </c>
      <c r="C2" s="72" t="s">
        <v>120</v>
      </c>
      <c r="D2" s="70" t="s">
        <v>134</v>
      </c>
      <c r="E2" s="70" t="s">
        <v>135</v>
      </c>
      <c r="F2" s="70" t="s">
        <v>121</v>
      </c>
      <c r="G2" s="70" t="s">
        <v>122</v>
      </c>
      <c r="H2" s="70" t="s">
        <v>123</v>
      </c>
      <c r="I2" s="70" t="s">
        <v>124</v>
      </c>
      <c r="J2" s="72" t="s">
        <v>125</v>
      </c>
      <c r="K2" s="72" t="s">
        <v>126</v>
      </c>
      <c r="L2" s="72" t="s">
        <v>127</v>
      </c>
      <c r="M2" s="73" t="s">
        <v>128</v>
      </c>
      <c r="N2" s="73" t="s">
        <v>129</v>
      </c>
      <c r="O2" s="73" t="s">
        <v>130</v>
      </c>
      <c r="P2" s="74" t="s">
        <v>131</v>
      </c>
      <c r="Q2" s="73" t="s">
        <v>186</v>
      </c>
      <c r="R2" s="74" t="s">
        <v>11</v>
      </c>
      <c r="S2" s="74" t="s">
        <v>187</v>
      </c>
      <c r="T2" s="72" t="s">
        <v>132</v>
      </c>
      <c r="U2" s="72" t="s">
        <v>133</v>
      </c>
      <c r="V2" s="2" t="s">
        <v>283</v>
      </c>
      <c r="W2" s="2" t="s">
        <v>300</v>
      </c>
      <c r="X2" s="2" t="s">
        <v>301</v>
      </c>
      <c r="Y2" s="2" t="s">
        <v>305</v>
      </c>
    </row>
    <row r="3" spans="1:25" s="2" customFormat="1" ht="14.25" customHeight="1">
      <c r="A3" s="69" t="s">
        <v>246</v>
      </c>
      <c r="B3" s="72">
        <v>2.9</v>
      </c>
      <c r="C3" s="72">
        <v>40</v>
      </c>
      <c r="D3" s="72">
        <v>100</v>
      </c>
      <c r="E3" s="72">
        <v>1000</v>
      </c>
      <c r="F3" s="72">
        <v>220</v>
      </c>
      <c r="G3" s="72">
        <v>220</v>
      </c>
      <c r="H3" s="184">
        <v>0</v>
      </c>
      <c r="I3" s="70">
        <f>1/0.022</f>
        <v>45.45454545454546</v>
      </c>
      <c r="J3" s="72">
        <v>1</v>
      </c>
      <c r="K3" s="184">
        <v>2.1</v>
      </c>
      <c r="L3" s="184">
        <v>96</v>
      </c>
      <c r="M3" s="74">
        <v>1.6</v>
      </c>
      <c r="N3" s="74">
        <v>0.23</v>
      </c>
      <c r="O3" s="75">
        <v>3000</v>
      </c>
      <c r="P3" s="74">
        <v>10000</v>
      </c>
      <c r="Q3" s="185">
        <v>0</v>
      </c>
      <c r="R3" s="185">
        <f>1/5.4/1</f>
        <v>0.18518518518518517</v>
      </c>
      <c r="S3" s="185">
        <f>8.5*5.4*PS!B67*2*PS!B5</f>
        <v>8660.9134163540257</v>
      </c>
      <c r="T3" s="72">
        <v>12</v>
      </c>
      <c r="U3" s="72">
        <v>12</v>
      </c>
      <c r="V3" s="2">
        <v>7.2</v>
      </c>
      <c r="W3" s="2">
        <v>7.5</v>
      </c>
      <c r="X3" s="2">
        <v>17.5</v>
      </c>
      <c r="Y3" s="2">
        <v>40</v>
      </c>
    </row>
    <row r="4" spans="1:25" s="2" customFormat="1" ht="14.25" customHeight="1">
      <c r="A4" s="69" t="s">
        <v>298</v>
      </c>
      <c r="B4" s="72">
        <v>5.5</v>
      </c>
      <c r="C4" s="72">
        <v>100</v>
      </c>
      <c r="D4" s="72">
        <v>100</v>
      </c>
      <c r="E4" s="72">
        <v>1000</v>
      </c>
      <c r="F4" s="72">
        <v>220</v>
      </c>
      <c r="G4" s="72">
        <v>220</v>
      </c>
      <c r="H4" s="184">
        <v>0</v>
      </c>
      <c r="I4" s="70">
        <f>1/0.022</f>
        <v>45.45454545454546</v>
      </c>
      <c r="J4" s="72">
        <v>1</v>
      </c>
      <c r="K4" s="184">
        <v>2.1</v>
      </c>
      <c r="L4" s="184">
        <v>96</v>
      </c>
      <c r="M4" s="74">
        <v>1.6</v>
      </c>
      <c r="N4" s="74">
        <v>0.23</v>
      </c>
      <c r="O4" s="75">
        <v>3000</v>
      </c>
      <c r="P4" s="74">
        <v>10000</v>
      </c>
      <c r="Q4" s="185">
        <v>0</v>
      </c>
      <c r="R4" s="185">
        <f>1/5.4/1</f>
        <v>0.18518518518518517</v>
      </c>
      <c r="S4" s="185">
        <f>8.5*5.4*PS!B67*2*PS!B5</f>
        <v>8660.9134163540257</v>
      </c>
      <c r="T4" s="72">
        <v>12</v>
      </c>
      <c r="U4" s="72">
        <v>12</v>
      </c>
      <c r="V4" s="2">
        <v>7.2</v>
      </c>
      <c r="W4" s="2">
        <v>7.5</v>
      </c>
      <c r="X4" s="2">
        <v>20</v>
      </c>
      <c r="Y4" s="2">
        <v>40</v>
      </c>
    </row>
  </sheetData>
  <mergeCells count="3">
    <mergeCell ref="B1:D1"/>
    <mergeCell ref="T1:U1"/>
    <mergeCell ref="M1:S1"/>
  </mergeCells>
  <phoneticPr fontId="2"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ABFAC-D474-495C-A296-B776F5AAD126}">
  <sheetPr codeName="Sheet1">
    <pageSetUpPr fitToPage="1"/>
  </sheetPr>
  <dimension ref="A1:O127"/>
  <sheetViews>
    <sheetView tabSelected="1" topLeftCell="A86" zoomScale="85" workbookViewId="0">
      <selection activeCell="H76" sqref="H76"/>
    </sheetView>
  </sheetViews>
  <sheetFormatPr defaultColWidth="9.109375" defaultRowHeight="13.2"/>
  <cols>
    <col min="1" max="1" width="23.44140625" style="16" customWidth="1"/>
    <col min="2" max="2" width="32.44140625" style="16" customWidth="1"/>
    <col min="3" max="3" width="13.44140625" style="46" customWidth="1"/>
    <col min="4" max="4" width="8.6640625" style="16" customWidth="1"/>
    <col min="5" max="5" width="33.109375" style="16" customWidth="1"/>
    <col min="6" max="6" width="24.44140625" style="16" customWidth="1"/>
    <col min="7" max="7" width="14.6640625" style="46" customWidth="1"/>
    <col min="8" max="8" width="7.33203125" style="16" customWidth="1"/>
    <col min="9" max="9" width="12" style="15" hidden="1" customWidth="1"/>
    <col min="10" max="10" width="9.109375" style="16" hidden="1" customWidth="1"/>
    <col min="11" max="11" width="9.109375" style="16"/>
    <col min="12" max="12" width="8.88671875" style="16" customWidth="1"/>
    <col min="13" max="15" width="9.109375" style="16" hidden="1" customWidth="1"/>
    <col min="16" max="16384" width="9.109375" style="16"/>
  </cols>
  <sheetData>
    <row r="1" spans="1:9" ht="20.399999999999999">
      <c r="A1" s="335" t="s">
        <v>338</v>
      </c>
      <c r="B1" s="335"/>
      <c r="C1" s="335"/>
      <c r="D1" s="335"/>
      <c r="E1" s="335"/>
      <c r="F1" s="335"/>
      <c r="G1" s="335"/>
      <c r="H1" s="335"/>
    </row>
    <row r="2" spans="1:9" ht="20.399999999999999">
      <c r="A2" s="226" t="s">
        <v>299</v>
      </c>
      <c r="B2" s="264" t="s">
        <v>298</v>
      </c>
      <c r="C2" s="54"/>
      <c r="D2" s="54"/>
      <c r="E2" s="54"/>
      <c r="F2" s="54"/>
      <c r="G2" s="54"/>
      <c r="H2" s="54"/>
    </row>
    <row r="3" spans="1:9" ht="18" customHeight="1">
      <c r="A3" s="17" t="s">
        <v>0</v>
      </c>
      <c r="B3" s="336"/>
      <c r="C3" s="336"/>
      <c r="D3" s="336"/>
      <c r="E3" s="336"/>
      <c r="F3" s="336"/>
      <c r="G3" s="336"/>
      <c r="H3" s="336"/>
    </row>
    <row r="4" spans="1:9" ht="18.75" customHeight="1">
      <c r="A4" s="17" t="s">
        <v>1</v>
      </c>
      <c r="B4" s="337"/>
      <c r="C4" s="336"/>
      <c r="D4" s="336"/>
      <c r="E4" s="336"/>
      <c r="F4" s="336"/>
      <c r="G4" s="336"/>
      <c r="H4" s="336"/>
    </row>
    <row r="5" spans="1:9" ht="18.75" customHeight="1">
      <c r="A5" s="17"/>
      <c r="B5" s="171"/>
      <c r="C5" s="170"/>
      <c r="D5" s="170"/>
      <c r="E5" s="170"/>
      <c r="F5" s="170"/>
      <c r="G5" s="170"/>
      <c r="H5" s="170"/>
    </row>
    <row r="6" spans="1:9" ht="24" customHeight="1" thickBot="1">
      <c r="A6" s="346" t="s">
        <v>2</v>
      </c>
      <c r="B6" s="346"/>
      <c r="C6" s="346"/>
      <c r="D6" s="347"/>
      <c r="E6" s="347"/>
      <c r="F6" s="347"/>
      <c r="G6" s="347"/>
      <c r="H6" s="347"/>
    </row>
    <row r="7" spans="1:9" ht="20.25" customHeight="1">
      <c r="A7" s="164" t="s">
        <v>4</v>
      </c>
      <c r="B7" s="165"/>
      <c r="C7" s="165" t="str">
        <f>IF(OR(C10&lt;C8, C12&gt;C9), "Vin Out of Range!", "")</f>
        <v/>
      </c>
      <c r="D7" s="172" t="str">
        <f>IF(C13&lt;MAX(C10, C11, C12), "Vin&gt;Vout!", "")</f>
        <v/>
      </c>
      <c r="E7" s="228" t="s">
        <v>136</v>
      </c>
      <c r="F7" s="68"/>
      <c r="G7" s="179" t="str">
        <f>IF(OR(G10&lt;G8, G10&gt;G9), "fs Out of Range!", "")</f>
        <v/>
      </c>
      <c r="H7" s="92"/>
    </row>
    <row r="8" spans="1:9" ht="15.75" customHeight="1">
      <c r="A8" s="340" t="s">
        <v>237</v>
      </c>
      <c r="B8" s="341"/>
      <c r="C8" s="229">
        <f>INDEX(IC!B3:B4,PS!B2)</f>
        <v>5.5</v>
      </c>
      <c r="D8" s="66" t="s">
        <v>5</v>
      </c>
      <c r="E8" s="348" t="s">
        <v>241</v>
      </c>
      <c r="F8" s="348"/>
      <c r="G8" s="231">
        <f>INDEX(IC!D3:D4,PS!B2)</f>
        <v>100</v>
      </c>
      <c r="H8" s="93" t="s">
        <v>10</v>
      </c>
    </row>
    <row r="9" spans="1:9" ht="15.75" customHeight="1">
      <c r="A9" s="342" t="s">
        <v>238</v>
      </c>
      <c r="B9" s="343"/>
      <c r="C9" s="230">
        <f>INDEX(IC!C3:C4,PS!B2)</f>
        <v>100</v>
      </c>
      <c r="D9" s="67" t="s">
        <v>5</v>
      </c>
      <c r="E9" s="348" t="s">
        <v>242</v>
      </c>
      <c r="F9" s="348"/>
      <c r="G9" s="229">
        <f>INDEX(IC!E3:E4,PS!B2)</f>
        <v>1000</v>
      </c>
      <c r="H9" s="93" t="s">
        <v>138</v>
      </c>
    </row>
    <row r="10" spans="1:9" ht="15.75" customHeight="1">
      <c r="A10" s="301" t="s">
        <v>226</v>
      </c>
      <c r="B10" s="302"/>
      <c r="C10" s="22">
        <v>10</v>
      </c>
      <c r="D10" s="20" t="s">
        <v>5</v>
      </c>
      <c r="E10" s="344" t="s">
        <v>9</v>
      </c>
      <c r="F10" s="345"/>
      <c r="G10" s="21">
        <v>100</v>
      </c>
      <c r="H10" s="94" t="s">
        <v>10</v>
      </c>
    </row>
    <row r="11" spans="1:9" ht="15.75" customHeight="1">
      <c r="A11" s="338" t="s">
        <v>220</v>
      </c>
      <c r="B11" s="339"/>
      <c r="C11" s="22">
        <v>12</v>
      </c>
      <c r="D11" s="20" t="s">
        <v>5</v>
      </c>
      <c r="E11" s="348" t="s">
        <v>12</v>
      </c>
      <c r="F11" s="348"/>
      <c r="G11" s="24">
        <f>PS!B4</f>
        <v>140.3463113005707</v>
      </c>
      <c r="H11" s="93" t="s">
        <v>13</v>
      </c>
    </row>
    <row r="12" spans="1:9" ht="15.75" customHeight="1">
      <c r="A12" s="360" t="s">
        <v>227</v>
      </c>
      <c r="B12" s="361"/>
      <c r="C12" s="22">
        <v>14</v>
      </c>
      <c r="D12" s="76" t="s">
        <v>5</v>
      </c>
      <c r="E12" s="348" t="s">
        <v>14</v>
      </c>
      <c r="F12" s="348"/>
      <c r="G12" s="27">
        <v>140</v>
      </c>
      <c r="H12" s="93" t="s">
        <v>13</v>
      </c>
    </row>
    <row r="13" spans="1:9" ht="15.75" customHeight="1">
      <c r="A13" s="301" t="s">
        <v>221</v>
      </c>
      <c r="B13" s="302"/>
      <c r="C13" s="19">
        <v>200</v>
      </c>
      <c r="D13" s="77" t="s">
        <v>5</v>
      </c>
      <c r="E13" s="348" t="s">
        <v>228</v>
      </c>
      <c r="F13" s="348"/>
      <c r="G13" s="82">
        <f>PS!B72</f>
        <v>100.35536514458559</v>
      </c>
      <c r="H13" s="93" t="s">
        <v>10</v>
      </c>
      <c r="I13" s="15" t="s">
        <v>137</v>
      </c>
    </row>
    <row r="14" spans="1:9" ht="15.75" customHeight="1">
      <c r="A14" s="348" t="s">
        <v>229</v>
      </c>
      <c r="B14" s="339"/>
      <c r="C14" s="21">
        <v>0.5</v>
      </c>
      <c r="D14" s="25" t="s">
        <v>6</v>
      </c>
      <c r="E14" s="358" t="s">
        <v>239</v>
      </c>
      <c r="F14" s="359"/>
      <c r="G14" s="232">
        <f>INDEX(IC!F3:F4,PS!B2)</f>
        <v>220</v>
      </c>
      <c r="H14" s="93" t="s">
        <v>15</v>
      </c>
    </row>
    <row r="15" spans="1:9" ht="15.75" customHeight="1" thickBot="1">
      <c r="A15" s="299" t="s">
        <v>7</v>
      </c>
      <c r="B15" s="300"/>
      <c r="C15" s="79">
        <v>70</v>
      </c>
      <c r="D15" s="78" t="s">
        <v>8</v>
      </c>
      <c r="E15" s="358" t="s">
        <v>240</v>
      </c>
      <c r="F15" s="359"/>
      <c r="G15" s="232">
        <f>INDEX(IC!G3:G4,PS!B2)</f>
        <v>220</v>
      </c>
      <c r="H15" s="93" t="s">
        <v>15</v>
      </c>
    </row>
    <row r="16" spans="1:9" ht="15.75" customHeight="1">
      <c r="A16" s="295" t="s">
        <v>98</v>
      </c>
      <c r="B16" s="296"/>
      <c r="C16" s="84"/>
      <c r="D16" s="85"/>
      <c r="E16" s="293" t="s">
        <v>232</v>
      </c>
      <c r="F16" s="293"/>
      <c r="G16" s="28">
        <f>C10/(PS!B6*G13)*10^6</f>
        <v>497.28462534912984</v>
      </c>
      <c r="H16" s="93" t="s">
        <v>15</v>
      </c>
    </row>
    <row r="17" spans="1:9" ht="15.75" customHeight="1" thickBot="1">
      <c r="A17" s="308" t="s">
        <v>307</v>
      </c>
      <c r="B17" s="309"/>
      <c r="C17" s="28">
        <f>PS!B12</f>
        <v>24.547685521511067</v>
      </c>
      <c r="D17" s="48" t="s">
        <v>16</v>
      </c>
      <c r="E17" s="371" t="s">
        <v>233</v>
      </c>
      <c r="F17" s="372"/>
      <c r="G17" s="83">
        <f>(1-C12/PS!B6)/G13*10^6</f>
        <v>9268.390847257082</v>
      </c>
      <c r="H17" s="95" t="s">
        <v>15</v>
      </c>
    </row>
    <row r="18" spans="1:9" ht="15.75" customHeight="1">
      <c r="A18" s="227" t="s">
        <v>308</v>
      </c>
      <c r="B18" s="262" t="s">
        <v>256</v>
      </c>
      <c r="C18" s="365" t="s">
        <v>293</v>
      </c>
      <c r="D18" s="366"/>
      <c r="E18" s="369" t="str">
        <f>"Output Filter Capacitor"&amp;IF(G24=0,", please add capacitor!","")</f>
        <v>Output Filter Capacitor</v>
      </c>
      <c r="F18" s="296"/>
      <c r="G18" s="296"/>
      <c r="H18" s="370"/>
    </row>
    <row r="19" spans="1:9" ht="15.75" customHeight="1">
      <c r="A19" s="308" t="s">
        <v>99</v>
      </c>
      <c r="B19" s="309"/>
      <c r="C19" s="273">
        <v>21.4</v>
      </c>
      <c r="D19" s="48" t="s">
        <v>17</v>
      </c>
      <c r="E19" s="362" t="s">
        <v>94</v>
      </c>
      <c r="F19" s="307"/>
      <c r="G19" s="24">
        <f>PS!B27</f>
        <v>2.5604288857981463</v>
      </c>
      <c r="H19" s="161" t="s">
        <v>6</v>
      </c>
    </row>
    <row r="20" spans="1:9" ht="15.75" customHeight="1">
      <c r="A20" s="308" t="s">
        <v>100</v>
      </c>
      <c r="B20" s="309"/>
      <c r="C20" s="32">
        <v>10</v>
      </c>
      <c r="D20" s="48" t="s">
        <v>16</v>
      </c>
      <c r="E20" s="353" t="s">
        <v>24</v>
      </c>
      <c r="F20" s="354"/>
      <c r="G20" s="32"/>
      <c r="H20" s="96"/>
    </row>
    <row r="21" spans="1:9" ht="15.75" customHeight="1">
      <c r="A21" s="308" t="s">
        <v>309</v>
      </c>
      <c r="B21" s="309"/>
      <c r="C21" s="24">
        <f>PS!F44</f>
        <v>3.2785483691268857</v>
      </c>
      <c r="D21" s="48" t="s">
        <v>248</v>
      </c>
      <c r="E21" s="367" t="s">
        <v>18</v>
      </c>
      <c r="F21" s="368"/>
      <c r="G21" s="51"/>
      <c r="H21" s="97"/>
    </row>
    <row r="22" spans="1:9" ht="15.75" customHeight="1" thickBot="1">
      <c r="A22" s="363" t="s">
        <v>224</v>
      </c>
      <c r="B22" s="364"/>
      <c r="C22" s="238">
        <f>PS!B17</f>
        <v>16.490298767350701</v>
      </c>
      <c r="D22" s="239" t="s">
        <v>6</v>
      </c>
      <c r="E22" s="303" t="s">
        <v>108</v>
      </c>
      <c r="F22" s="304"/>
      <c r="G22" s="27">
        <v>4.7</v>
      </c>
      <c r="H22" s="96" t="s">
        <v>21</v>
      </c>
      <c r="I22" s="16">
        <f>PS!B18</f>
        <v>1.9749077552932062</v>
      </c>
    </row>
    <row r="23" spans="1:9" ht="15.75" customHeight="1">
      <c r="A23" s="355" t="s">
        <v>19</v>
      </c>
      <c r="B23" s="356"/>
      <c r="C23" s="386"/>
      <c r="D23" s="387"/>
      <c r="E23" s="303" t="s">
        <v>22</v>
      </c>
      <c r="F23" s="304"/>
      <c r="G23" s="27">
        <v>100</v>
      </c>
      <c r="H23" s="96" t="s">
        <v>17</v>
      </c>
    </row>
    <row r="24" spans="1:9" ht="15.75" customHeight="1">
      <c r="A24" s="306" t="s">
        <v>222</v>
      </c>
      <c r="B24" s="307"/>
      <c r="C24" s="18">
        <f>PS!B20</f>
        <v>3.2406155046880869</v>
      </c>
      <c r="D24" s="33" t="s">
        <v>6</v>
      </c>
      <c r="E24" s="303" t="s">
        <v>23</v>
      </c>
      <c r="F24" s="304"/>
      <c r="G24" s="32">
        <v>4</v>
      </c>
      <c r="H24" s="96"/>
    </row>
    <row r="25" spans="1:9" ht="15.75" customHeight="1">
      <c r="A25" s="306" t="s">
        <v>223</v>
      </c>
      <c r="B25" s="307"/>
      <c r="C25" s="18">
        <f>PS!B22</f>
        <v>3.7414222207808074</v>
      </c>
      <c r="D25" s="33" t="s">
        <v>6</v>
      </c>
      <c r="E25" s="303" t="s">
        <v>317</v>
      </c>
      <c r="F25" s="304"/>
      <c r="G25" s="24">
        <f>PS!C33</f>
        <v>780.37849314297387</v>
      </c>
      <c r="H25" s="96" t="s">
        <v>306</v>
      </c>
    </row>
    <row r="26" spans="1:9" ht="15.75" customHeight="1" thickBot="1">
      <c r="A26" s="353" t="s">
        <v>101</v>
      </c>
      <c r="B26" s="354"/>
      <c r="C26" s="23"/>
      <c r="D26" s="162" t="s">
        <v>137</v>
      </c>
      <c r="E26" s="305" t="s">
        <v>96</v>
      </c>
      <c r="F26" s="305"/>
      <c r="G26" s="49">
        <f>G25*0.1/C13</f>
        <v>0.39018924657148696</v>
      </c>
      <c r="H26" s="98" t="s">
        <v>8</v>
      </c>
    </row>
    <row r="27" spans="1:9" ht="15.75" customHeight="1">
      <c r="A27" s="381" t="s">
        <v>18</v>
      </c>
      <c r="B27" s="382"/>
      <c r="C27" s="23"/>
      <c r="D27" s="162"/>
      <c r="E27" s="375" t="s">
        <v>319</v>
      </c>
      <c r="F27" s="376"/>
      <c r="G27" s="86"/>
      <c r="H27" s="187"/>
    </row>
    <row r="28" spans="1:9" ht="15.75" customHeight="1" thickBot="1">
      <c r="A28" s="390" t="s">
        <v>95</v>
      </c>
      <c r="B28" s="391"/>
      <c r="C28" s="188">
        <v>470</v>
      </c>
      <c r="D28" s="189" t="s">
        <v>21</v>
      </c>
      <c r="E28" s="310" t="s">
        <v>320</v>
      </c>
      <c r="F28" s="311"/>
      <c r="G28" s="87" t="s">
        <v>141</v>
      </c>
      <c r="H28" s="190"/>
      <c r="I28" s="16"/>
    </row>
    <row r="29" spans="1:9" ht="16.5" customHeight="1">
      <c r="A29" s="225" t="s">
        <v>302</v>
      </c>
      <c r="B29" s="388" t="str">
        <f>IF(PS!F9,IF(INTVcc&gt;MIN(C10,17.5),"External INTVcc must be lower than 17.5V and minimum input",""),"")</f>
        <v/>
      </c>
      <c r="C29" s="388"/>
      <c r="D29" s="389"/>
      <c r="E29" s="310" t="s">
        <v>18</v>
      </c>
      <c r="F29" s="311"/>
      <c r="G29" s="274" t="s">
        <v>325</v>
      </c>
      <c r="H29" s="191"/>
      <c r="I29" s="16"/>
    </row>
    <row r="30" spans="1:9" ht="15.75" customHeight="1">
      <c r="A30" s="392" t="str">
        <f>IF(AND(M39,INTVcc&lt;Main!N39),"External INTVcc must be high enough to disable internal LDO","")</f>
        <v/>
      </c>
      <c r="B30" s="393"/>
      <c r="C30" s="393"/>
      <c r="D30" s="394"/>
      <c r="E30" s="377" t="s">
        <v>142</v>
      </c>
      <c r="F30" s="379"/>
      <c r="G30" s="260">
        <v>0.38</v>
      </c>
      <c r="H30" s="192" t="s">
        <v>5</v>
      </c>
    </row>
    <row r="31" spans="1:9" ht="24.6" customHeight="1">
      <c r="A31" s="186"/>
      <c r="B31" s="186"/>
      <c r="C31" s="193"/>
      <c r="D31" s="163"/>
      <c r="E31" s="377" t="s">
        <v>247</v>
      </c>
      <c r="F31" s="378"/>
      <c r="G31" s="271">
        <f>PS!F43</f>
        <v>0.19</v>
      </c>
      <c r="H31" s="261" t="s">
        <v>248</v>
      </c>
    </row>
    <row r="32" spans="1:9" ht="15.75" customHeight="1">
      <c r="A32" s="312" t="str">
        <f>IF(PS!F9,"User PLS specify the external INTVcc voltage","")</f>
        <v/>
      </c>
      <c r="B32" s="312"/>
      <c r="C32" s="194">
        <v>7.3</v>
      </c>
      <c r="D32" s="163"/>
      <c r="E32" s="320" t="s">
        <v>249</v>
      </c>
      <c r="F32" s="320"/>
      <c r="G32" s="320"/>
      <c r="H32" s="321"/>
    </row>
    <row r="33" spans="1:15" ht="15" customHeight="1">
      <c r="A33" s="312" t="s">
        <v>284</v>
      </c>
      <c r="B33" s="312"/>
      <c r="C33" s="266">
        <f>IF(PS!D9,Vin_nom,IF(PS!E9,Vout, IF(PS!F9,INTVcc)))</f>
        <v>12</v>
      </c>
      <c r="D33" s="163"/>
      <c r="E33" s="348" t="s">
        <v>303</v>
      </c>
      <c r="F33" s="348"/>
      <c r="G33" s="24">
        <f>PS!B56</f>
        <v>4.2449200580036583</v>
      </c>
      <c r="H33" s="31" t="s">
        <v>251</v>
      </c>
      <c r="I33" s="399"/>
      <c r="J33" s="400"/>
    </row>
    <row r="34" spans="1:15" ht="15.75" customHeight="1" thickBot="1">
      <c r="A34" s="319" t="s">
        <v>250</v>
      </c>
      <c r="B34" s="319"/>
      <c r="C34" s="267">
        <f>PS!F45+PS!F40</f>
        <v>2.8613321710024245E-2</v>
      </c>
      <c r="D34" s="189"/>
      <c r="E34" s="348" t="s">
        <v>292</v>
      </c>
      <c r="F34" s="339"/>
      <c r="G34" s="27">
        <v>10</v>
      </c>
      <c r="H34" s="31" t="s">
        <v>251</v>
      </c>
      <c r="I34" s="16"/>
    </row>
    <row r="35" spans="1:15" ht="15.75" customHeight="1">
      <c r="A35" s="320" t="s">
        <v>252</v>
      </c>
      <c r="B35" s="320"/>
      <c r="C35" s="320"/>
      <c r="D35" s="380"/>
      <c r="E35" s="399" t="s">
        <v>254</v>
      </c>
      <c r="F35" s="400"/>
      <c r="G35" s="24">
        <f>PS!F48</f>
        <v>0.85231969538247287</v>
      </c>
      <c r="H35" s="195" t="s">
        <v>248</v>
      </c>
      <c r="I35" s="16"/>
    </row>
    <row r="36" spans="1:15" ht="15.75" customHeight="1" thickBot="1">
      <c r="A36" s="323" t="s">
        <v>253</v>
      </c>
      <c r="B36" s="383"/>
      <c r="C36" s="196">
        <f>PS!B6</f>
        <v>200.38</v>
      </c>
      <c r="D36" s="25" t="s">
        <v>5</v>
      </c>
      <c r="E36" s="385"/>
      <c r="F36" s="385"/>
      <c r="G36" s="276"/>
      <c r="H36" s="197"/>
      <c r="I36" s="16"/>
    </row>
    <row r="37" spans="1:15" ht="15.75" customHeight="1">
      <c r="A37" s="354" t="s">
        <v>255</v>
      </c>
      <c r="B37" s="354"/>
      <c r="C37" s="233" t="s">
        <v>256</v>
      </c>
      <c r="D37" s="25"/>
      <c r="E37" s="86" t="s">
        <v>257</v>
      </c>
      <c r="F37" s="86"/>
      <c r="G37" s="89"/>
      <c r="H37" s="99"/>
      <c r="I37" s="16"/>
    </row>
    <row r="38" spans="1:15" ht="15.75" customHeight="1">
      <c r="A38" s="354" t="s">
        <v>212</v>
      </c>
      <c r="B38" s="354"/>
      <c r="C38" s="234" t="s">
        <v>326</v>
      </c>
      <c r="D38" s="25"/>
      <c r="E38" s="384" t="s">
        <v>258</v>
      </c>
      <c r="F38" s="341"/>
      <c r="G38" s="223">
        <v>0.85</v>
      </c>
      <c r="H38" s="31" t="s">
        <v>259</v>
      </c>
      <c r="I38" s="16"/>
    </row>
    <row r="39" spans="1:15" ht="15.75" customHeight="1">
      <c r="A39" s="383" t="s">
        <v>297</v>
      </c>
      <c r="B39" s="383"/>
      <c r="C39" s="88">
        <v>10</v>
      </c>
      <c r="D39" s="198" t="s">
        <v>251</v>
      </c>
      <c r="E39" s="384" t="s">
        <v>294</v>
      </c>
      <c r="F39" s="341"/>
      <c r="G39" s="88">
        <v>0</v>
      </c>
      <c r="H39" s="31" t="s">
        <v>259</v>
      </c>
      <c r="I39" s="16"/>
      <c r="M39" s="16" t="b">
        <f>PS!F9</f>
        <v>0</v>
      </c>
      <c r="N39" s="16">
        <f>PS!C55</f>
        <v>7.5</v>
      </c>
      <c r="O39" s="16">
        <f>PS!E55</f>
        <v>10</v>
      </c>
    </row>
    <row r="40" spans="1:15" ht="15.75" customHeight="1">
      <c r="A40" s="384" t="s">
        <v>260</v>
      </c>
      <c r="B40" s="384"/>
      <c r="C40" s="199">
        <v>10</v>
      </c>
      <c r="D40" s="45" t="s">
        <v>5</v>
      </c>
      <c r="E40" s="384" t="s">
        <v>295</v>
      </c>
      <c r="F40" s="341"/>
      <c r="G40" s="88">
        <v>0</v>
      </c>
      <c r="H40" s="31" t="s">
        <v>259</v>
      </c>
      <c r="I40" s="16"/>
    </row>
    <row r="41" spans="1:15" ht="15.75" customHeight="1" thickBot="1">
      <c r="A41" s="383" t="s">
        <v>261</v>
      </c>
      <c r="B41" s="403"/>
      <c r="C41" s="200">
        <v>33</v>
      </c>
      <c r="D41" s="198" t="s">
        <v>262</v>
      </c>
      <c r="E41" s="401" t="s">
        <v>263</v>
      </c>
      <c r="F41" s="396"/>
      <c r="G41" s="224">
        <f>G38+G39</f>
        <v>0.85</v>
      </c>
      <c r="H41" s="31" t="s">
        <v>259</v>
      </c>
      <c r="I41" s="16"/>
    </row>
    <row r="42" spans="1:15" ht="15.75" customHeight="1" thickBot="1">
      <c r="A42" s="395" t="s">
        <v>264</v>
      </c>
      <c r="B42" s="396"/>
      <c r="C42" s="201">
        <v>5.0999999999999996</v>
      </c>
      <c r="D42" s="235" t="s">
        <v>40</v>
      </c>
      <c r="E42" s="397" t="s">
        <v>265</v>
      </c>
      <c r="F42" s="398"/>
      <c r="G42" s="175">
        <f>G38+G40</f>
        <v>0.85</v>
      </c>
      <c r="H42" s="202" t="s">
        <v>259</v>
      </c>
      <c r="I42" s="16"/>
    </row>
    <row r="43" spans="1:15" ht="15.75" customHeight="1">
      <c r="A43" s="395" t="s">
        <v>266</v>
      </c>
      <c r="B43" s="396"/>
      <c r="C43" s="201">
        <v>6.7</v>
      </c>
      <c r="D43" s="235" t="s">
        <v>40</v>
      </c>
      <c r="E43" s="376" t="s">
        <v>311</v>
      </c>
      <c r="F43" s="376"/>
      <c r="G43" s="89"/>
      <c r="H43" s="203"/>
      <c r="I43" s="16"/>
    </row>
    <row r="44" spans="1:15" ht="15.75" customHeight="1">
      <c r="A44" s="384" t="s">
        <v>316</v>
      </c>
      <c r="B44" s="341"/>
      <c r="C44" s="88">
        <v>40</v>
      </c>
      <c r="D44" s="235" t="s">
        <v>5</v>
      </c>
      <c r="E44" s="377" t="s">
        <v>312</v>
      </c>
      <c r="F44" s="379"/>
      <c r="G44" s="178">
        <f>PS!F52</f>
        <v>7.4332689333146238</v>
      </c>
      <c r="H44" s="204" t="s">
        <v>313</v>
      </c>
      <c r="I44" s="16"/>
    </row>
    <row r="45" spans="1:15" ht="15.75" customHeight="1">
      <c r="A45" s="383" t="s">
        <v>267</v>
      </c>
      <c r="B45" s="403"/>
      <c r="C45" s="88">
        <v>3.5</v>
      </c>
      <c r="D45" s="235" t="s">
        <v>5</v>
      </c>
      <c r="E45" s="377" t="s">
        <v>143</v>
      </c>
      <c r="F45" s="379"/>
      <c r="G45" s="178">
        <f>PS!F53</f>
        <v>93.081036249647624</v>
      </c>
      <c r="H45" s="204" t="s">
        <v>8</v>
      </c>
      <c r="I45" s="16"/>
    </row>
    <row r="46" spans="1:15" ht="15.75" customHeight="1">
      <c r="A46" s="384" t="s">
        <v>268</v>
      </c>
      <c r="B46" s="341"/>
      <c r="C46" s="206">
        <v>1</v>
      </c>
      <c r="D46" s="236" t="s">
        <v>269</v>
      </c>
      <c r="E46" s="411" t="s">
        <v>310</v>
      </c>
      <c r="F46" s="379"/>
      <c r="G46" s="272">
        <v>25</v>
      </c>
      <c r="H46" s="207" t="s">
        <v>144</v>
      </c>
      <c r="I46" s="16"/>
    </row>
    <row r="47" spans="1:15" ht="15.75" customHeight="1">
      <c r="A47" s="383" t="s">
        <v>270</v>
      </c>
      <c r="B47" s="403"/>
      <c r="C47" s="18">
        <f>PS!F49</f>
        <v>3.0477875470952411</v>
      </c>
      <c r="D47" s="235" t="s">
        <v>248</v>
      </c>
      <c r="E47" s="377" t="s">
        <v>314</v>
      </c>
      <c r="F47" s="379"/>
      <c r="G47" s="275">
        <v>43</v>
      </c>
      <c r="H47" s="205" t="s">
        <v>234</v>
      </c>
      <c r="I47" s="16"/>
    </row>
    <row r="48" spans="1:15" ht="15.75" customHeight="1">
      <c r="A48" s="408" t="s">
        <v>271</v>
      </c>
      <c r="B48" s="408"/>
      <c r="C48" s="210">
        <v>17</v>
      </c>
      <c r="D48" s="237" t="s">
        <v>272</v>
      </c>
      <c r="E48" s="377" t="s">
        <v>315</v>
      </c>
      <c r="F48" s="379"/>
      <c r="G48" s="208">
        <f>PS!F42</f>
        <v>6.4613321710024249E-2</v>
      </c>
      <c r="H48" s="209" t="s">
        <v>313</v>
      </c>
      <c r="I48" s="16"/>
    </row>
    <row r="49" spans="1:9" ht="16.2" customHeight="1" thickBot="1">
      <c r="A49" s="409" t="s">
        <v>273</v>
      </c>
      <c r="B49" s="410"/>
      <c r="C49" s="211">
        <f>C48*C47/C46</f>
        <v>51.812388300619098</v>
      </c>
      <c r="D49" s="242" t="s">
        <v>274</v>
      </c>
      <c r="E49" s="404" t="s">
        <v>145</v>
      </c>
      <c r="F49" s="405"/>
      <c r="G49" s="175">
        <f>PS!B58+G46</f>
        <v>27.58453286840097</v>
      </c>
      <c r="H49" s="241" t="s">
        <v>144</v>
      </c>
      <c r="I49" s="16"/>
    </row>
    <row r="50" spans="1:9" ht="15.75" customHeight="1">
      <c r="A50" s="313" t="s">
        <v>27</v>
      </c>
      <c r="B50" s="314"/>
      <c r="C50" s="314"/>
      <c r="D50" s="314"/>
      <c r="E50" s="240"/>
      <c r="F50" s="91"/>
      <c r="G50" s="91"/>
      <c r="H50" s="91"/>
      <c r="I50" s="16"/>
    </row>
    <row r="51" spans="1:9" ht="15" hidden="1" customHeight="1">
      <c r="A51" s="130">
        <f>1/B51</f>
        <v>12.5</v>
      </c>
      <c r="B51" s="129">
        <f>(C12-C10)/50</f>
        <v>0.08</v>
      </c>
      <c r="C51" s="173">
        <f>IF(ISERR(A51),0,A51)</f>
        <v>12.5</v>
      </c>
      <c r="D51" s="174" t="b">
        <f>ISNUMBER(C58)</f>
        <v>1</v>
      </c>
      <c r="E51" s="129">
        <f>1/F51</f>
        <v>100</v>
      </c>
      <c r="F51" s="126">
        <f>C14/50</f>
        <v>0.01</v>
      </c>
      <c r="G51" s="176">
        <f>IF(FALSE,0,E51)</f>
        <v>100</v>
      </c>
      <c r="H51" s="177" t="b">
        <f>ISNUMBER(G58)</f>
        <v>1</v>
      </c>
    </row>
    <row r="52" spans="1:9" ht="15.75" hidden="1" customHeight="1">
      <c r="A52" s="80"/>
      <c r="B52" s="80"/>
      <c r="C52" s="90"/>
      <c r="D52" s="90"/>
      <c r="E52" s="91"/>
      <c r="F52" s="91"/>
      <c r="G52" s="91"/>
      <c r="H52" s="91"/>
      <c r="I52" s="16"/>
    </row>
    <row r="53" spans="1:9" ht="15.75" hidden="1" customHeight="1">
      <c r="A53" s="80"/>
      <c r="B53" s="80"/>
      <c r="C53" s="90"/>
      <c r="D53" s="90"/>
      <c r="E53" s="91"/>
      <c r="F53" s="91"/>
      <c r="G53" s="91"/>
      <c r="H53" s="91"/>
      <c r="I53" s="16"/>
    </row>
    <row r="54" spans="1:9" ht="15.75" hidden="1" customHeight="1">
      <c r="A54" s="80"/>
      <c r="B54" s="80"/>
      <c r="C54" s="90"/>
      <c r="D54" s="90"/>
      <c r="E54" s="91"/>
      <c r="F54" s="91"/>
      <c r="G54" s="91"/>
      <c r="H54" s="91"/>
      <c r="I54" s="16"/>
    </row>
    <row r="55" spans="1:9" ht="14.4" hidden="1" customHeight="1">
      <c r="A55" s="80"/>
      <c r="B55" s="80"/>
      <c r="C55" s="90"/>
      <c r="D55" s="90"/>
      <c r="E55" s="91"/>
      <c r="F55" s="91"/>
      <c r="G55" s="91"/>
      <c r="H55" s="91"/>
    </row>
    <row r="56" spans="1:9" ht="28.2" customHeight="1" thickBot="1">
      <c r="A56" s="406" t="s">
        <v>291</v>
      </c>
      <c r="B56" s="407"/>
      <c r="C56" s="407"/>
      <c r="D56" s="407"/>
      <c r="E56" s="407"/>
      <c r="F56" s="407"/>
      <c r="G56" s="407"/>
      <c r="H56" s="91"/>
    </row>
    <row r="57" spans="1:9" ht="15.75" customHeight="1">
      <c r="A57" s="317" t="s">
        <v>97</v>
      </c>
      <c r="B57" s="318"/>
      <c r="C57" s="55"/>
      <c r="D57" s="55"/>
      <c r="E57" s="55"/>
      <c r="F57" s="55"/>
      <c r="G57" s="55"/>
      <c r="H57" s="56"/>
    </row>
    <row r="58" spans="1:9" ht="15.75" customHeight="1" thickBot="1">
      <c r="A58" s="402" t="s">
        <v>30</v>
      </c>
      <c r="B58" s="350"/>
      <c r="C58" s="47">
        <f>$C$75</f>
        <v>12</v>
      </c>
      <c r="D58" s="36" t="s">
        <v>5</v>
      </c>
      <c r="E58" s="349" t="s">
        <v>230</v>
      </c>
      <c r="F58" s="349"/>
      <c r="G58" s="47">
        <f>$G$75</f>
        <v>0.5</v>
      </c>
      <c r="H58" s="277" t="s">
        <v>6</v>
      </c>
    </row>
    <row r="59" spans="1:9" ht="15.75" customHeight="1">
      <c r="A59" s="295" t="s">
        <v>29</v>
      </c>
      <c r="B59" s="296"/>
      <c r="C59" s="373" t="str">
        <f>IF(OR(G60&lt;0, G61&lt;0, G62&lt;0), "Please Modify Design Target!", "")</f>
        <v/>
      </c>
      <c r="D59" s="374"/>
      <c r="E59" s="297"/>
      <c r="F59" s="356"/>
      <c r="G59" s="356"/>
      <c r="H59" s="357"/>
    </row>
    <row r="60" spans="1:9" ht="15.75" customHeight="1">
      <c r="A60" s="351" t="s">
        <v>31</v>
      </c>
      <c r="B60" s="352"/>
      <c r="C60" s="23">
        <v>20</v>
      </c>
      <c r="D60" s="125" t="s">
        <v>10</v>
      </c>
      <c r="E60" s="297" t="s">
        <v>67</v>
      </c>
      <c r="F60" s="298"/>
      <c r="G60" s="24"/>
      <c r="H60" s="39"/>
    </row>
    <row r="61" spans="1:9" ht="15.75" customHeight="1" thickBot="1">
      <c r="A61" s="349" t="s">
        <v>32</v>
      </c>
      <c r="B61" s="350"/>
      <c r="C61" s="79">
        <v>45</v>
      </c>
      <c r="D61" s="37" t="s">
        <v>28</v>
      </c>
      <c r="E61" s="291" t="s">
        <v>290</v>
      </c>
      <c r="F61" s="293"/>
      <c r="G61" s="24">
        <f>C60/PS!B77</f>
        <v>100.03949692721895</v>
      </c>
      <c r="H61" s="39" t="s">
        <v>10</v>
      </c>
    </row>
    <row r="62" spans="1:9" ht="15.75" customHeight="1">
      <c r="A62" s="295" t="s">
        <v>70</v>
      </c>
      <c r="B62" s="296"/>
      <c r="C62" s="296"/>
      <c r="D62" s="296"/>
      <c r="E62" s="291" t="s">
        <v>289</v>
      </c>
      <c r="F62" s="293"/>
      <c r="G62" s="24">
        <f>C60*PS!B77</f>
        <v>3.9984207466677812</v>
      </c>
      <c r="H62" s="39" t="s">
        <v>10</v>
      </c>
    </row>
    <row r="63" spans="1:9" ht="15.75" customHeight="1">
      <c r="A63" s="315" t="s">
        <v>296</v>
      </c>
      <c r="B63" s="316"/>
      <c r="C63" s="265">
        <v>16.2</v>
      </c>
      <c r="D63" s="215" t="s">
        <v>65</v>
      </c>
      <c r="E63" s="291" t="s">
        <v>68</v>
      </c>
      <c r="F63" s="292"/>
      <c r="G63" s="24">
        <f>C60/SQRT(PS!B80*PS!B79/PS!B78-1)</f>
        <v>0.10362295823231327</v>
      </c>
      <c r="H63" s="39" t="s">
        <v>10</v>
      </c>
    </row>
    <row r="64" spans="1:9" ht="19.95" customHeight="1">
      <c r="A64" s="294" t="s">
        <v>63</v>
      </c>
      <c r="B64" s="293"/>
      <c r="C64" s="24">
        <f>ATAN(SQRT(C13/IC!M3))*360/PI()-90</f>
        <v>79.777820609422577</v>
      </c>
      <c r="D64" s="38" t="s">
        <v>28</v>
      </c>
      <c r="E64" s="291" t="s">
        <v>73</v>
      </c>
      <c r="F64" s="293"/>
      <c r="G64" s="24">
        <f>G61/((G62+G61)*PI())*500000/(PS!B81*G63)</f>
        <v>492.29195482911132</v>
      </c>
      <c r="H64" s="39" t="s">
        <v>66</v>
      </c>
    </row>
    <row r="65" spans="1:10" ht="20.399999999999999" customHeight="1">
      <c r="A65" s="294" t="s">
        <v>64</v>
      </c>
      <c r="B65" s="293"/>
      <c r="C65" s="26">
        <v>0</v>
      </c>
      <c r="D65" s="38" t="s">
        <v>28</v>
      </c>
      <c r="E65" s="41" t="s">
        <v>71</v>
      </c>
      <c r="F65" s="168"/>
      <c r="G65" s="22">
        <v>470</v>
      </c>
      <c r="H65" s="30" t="s">
        <v>66</v>
      </c>
    </row>
    <row r="66" spans="1:10" ht="18" customHeight="1">
      <c r="A66" s="294" t="s">
        <v>285</v>
      </c>
      <c r="B66" s="293"/>
      <c r="C66" s="24">
        <f>(-C63*IC!M3+C63*Vout)/IC!M3</f>
        <v>2008.8</v>
      </c>
      <c r="D66" s="38" t="s">
        <v>65</v>
      </c>
      <c r="E66" s="291" t="s">
        <v>74</v>
      </c>
      <c r="F66" s="293"/>
      <c r="G66" s="24">
        <f>500000/PI()/fthz/G64</f>
        <v>80.855375982735069</v>
      </c>
      <c r="H66" s="39" t="s">
        <v>65</v>
      </c>
    </row>
    <row r="67" spans="1:10" ht="15.75" customHeight="1">
      <c r="A67" s="294" t="s">
        <v>286</v>
      </c>
      <c r="B67" s="293"/>
      <c r="C67" s="26">
        <v>226</v>
      </c>
      <c r="D67" s="40" t="s">
        <v>13</v>
      </c>
      <c r="E67" s="41" t="s">
        <v>72</v>
      </c>
      <c r="F67" s="168">
        <v>83</v>
      </c>
      <c r="G67" s="22">
        <v>82</v>
      </c>
      <c r="H67" s="31" t="s">
        <v>65</v>
      </c>
      <c r="I67" s="15">
        <f>ROUND(en(F67),3)</f>
        <v>0.73199999999999998</v>
      </c>
      <c r="J67" s="15" t="b">
        <f>ISNUMBER(G67)</f>
        <v>1</v>
      </c>
    </row>
    <row r="68" spans="1:10" ht="15.6">
      <c r="A68" s="294" t="s">
        <v>287</v>
      </c>
      <c r="B68" s="293"/>
      <c r="C68" s="24">
        <f>IF(C65=0,0,((1-Kref)-(SQRT((Kref-1)^2-4*TAN(C65/180*PI())^2*Kref)))/(2*TAN(C65/180*PI())*Kref)/(2*PI()*C67*fc*10^6))*10^12</f>
        <v>0</v>
      </c>
      <c r="D68" s="38" t="s">
        <v>66</v>
      </c>
      <c r="E68" s="291" t="s">
        <v>198</v>
      </c>
      <c r="F68" s="293"/>
      <c r="G68" s="24">
        <f>500000/G61/G67/PI()</f>
        <v>19.401476414431844</v>
      </c>
      <c r="H68" s="39" t="s">
        <v>66</v>
      </c>
    </row>
    <row r="69" spans="1:10" ht="19.2" customHeight="1" thickBot="1">
      <c r="A69" s="43" t="s">
        <v>288</v>
      </c>
      <c r="B69" s="167"/>
      <c r="C69" s="44">
        <v>0</v>
      </c>
      <c r="D69" s="36" t="s">
        <v>66</v>
      </c>
      <c r="E69" s="41" t="s">
        <v>231</v>
      </c>
      <c r="F69" s="169"/>
      <c r="G69" s="244">
        <v>22</v>
      </c>
      <c r="H69" s="30" t="s">
        <v>66</v>
      </c>
      <c r="I69" s="16">
        <f>BodI!P3*2</f>
        <v>0.13377374071015691</v>
      </c>
    </row>
    <row r="70" spans="1:10" ht="15.75" hidden="1" customHeight="1">
      <c r="A70" s="289"/>
      <c r="B70" s="290"/>
      <c r="C70" s="263"/>
      <c r="D70" s="222"/>
      <c r="E70" s="132"/>
      <c r="F70" s="256"/>
      <c r="G70" s="254"/>
      <c r="H70" s="243"/>
      <c r="I70" s="16"/>
    </row>
    <row r="71" spans="1:10" ht="21" customHeight="1" thickBot="1">
      <c r="A71" s="216" t="s">
        <v>69</v>
      </c>
      <c r="B71" s="217"/>
      <c r="C71" s="218">
        <v>0</v>
      </c>
      <c r="D71" s="219" t="s">
        <v>66</v>
      </c>
      <c r="E71" s="220"/>
      <c r="F71" s="257"/>
      <c r="G71" s="255"/>
      <c r="H71" s="221"/>
      <c r="I71" s="16"/>
    </row>
    <row r="72" spans="1:10" ht="15.75" customHeight="1">
      <c r="A72" s="131"/>
      <c r="B72" s="214"/>
      <c r="C72" s="247"/>
      <c r="D72" s="258"/>
      <c r="E72" s="249"/>
      <c r="F72" s="251"/>
      <c r="G72" s="253"/>
      <c r="H72" s="30"/>
      <c r="I72" s="16"/>
    </row>
    <row r="73" spans="1:10" ht="15.75" customHeight="1" thickBot="1">
      <c r="A73" s="131"/>
      <c r="B73" s="246"/>
      <c r="C73" s="248"/>
      <c r="D73" s="259"/>
      <c r="E73" s="250"/>
      <c r="F73" s="252"/>
      <c r="G73" s="248"/>
      <c r="H73" s="30"/>
      <c r="I73" s="16"/>
    </row>
    <row r="74" spans="1:10" ht="15.75" customHeight="1">
      <c r="A74" s="295" t="s">
        <v>225</v>
      </c>
      <c r="B74" s="320"/>
      <c r="C74" s="245"/>
      <c r="D74" s="123"/>
      <c r="E74" s="52"/>
      <c r="F74" s="52"/>
      <c r="G74" s="124">
        <f>C14/50</f>
        <v>0.01</v>
      </c>
      <c r="H74" s="53"/>
      <c r="I74" s="16"/>
    </row>
    <row r="75" spans="1:10" ht="15.75" customHeight="1">
      <c r="A75" s="131" t="s">
        <v>75</v>
      </c>
      <c r="B75" s="166">
        <v>25</v>
      </c>
      <c r="C75" s="18">
        <f>C10+B75*B51</f>
        <v>12</v>
      </c>
      <c r="D75" s="45" t="s">
        <v>5</v>
      </c>
      <c r="E75" s="132" t="s">
        <v>76</v>
      </c>
      <c r="F75" s="166">
        <v>50</v>
      </c>
      <c r="G75" s="18">
        <f>F51*F75</f>
        <v>0.5</v>
      </c>
      <c r="H75" s="29" t="s">
        <v>6</v>
      </c>
    </row>
    <row r="76" spans="1:10" ht="15.75" customHeight="1">
      <c r="A76" s="322" t="s">
        <v>235</v>
      </c>
      <c r="B76" s="323"/>
      <c r="C76" s="18">
        <f>BodI!P33</f>
        <v>18.858189694904056</v>
      </c>
      <c r="D76" s="45" t="s">
        <v>10</v>
      </c>
      <c r="E76" s="324" t="s">
        <v>236</v>
      </c>
      <c r="F76" s="323"/>
      <c r="G76" s="18">
        <f>BodI!P34</f>
        <v>43.862125877544486</v>
      </c>
      <c r="H76" s="29" t="s">
        <v>28</v>
      </c>
      <c r="I76" s="16"/>
    </row>
    <row r="77" spans="1:10" ht="15.75" customHeight="1">
      <c r="A77" s="330" t="s">
        <v>219</v>
      </c>
      <c r="B77" s="331"/>
      <c r="C77" s="331"/>
      <c r="D77" s="332"/>
      <c r="E77" s="333" t="s">
        <v>200</v>
      </c>
      <c r="F77" s="331"/>
      <c r="G77" s="331"/>
      <c r="H77" s="334"/>
    </row>
    <row r="78" spans="1:10" ht="188.25" customHeight="1" thickBot="1">
      <c r="A78" s="327"/>
      <c r="B78" s="328"/>
      <c r="C78" s="328"/>
      <c r="D78" s="329"/>
      <c r="E78" s="325"/>
      <c r="F78" s="325"/>
      <c r="G78" s="325"/>
      <c r="H78" s="326"/>
    </row>
    <row r="79" spans="1:10" ht="17.25" customHeight="1"/>
    <row r="80" spans="1:10" ht="16.5" customHeight="1"/>
    <row r="81" spans="1:9" ht="15.75" customHeight="1"/>
    <row r="82" spans="1:9" ht="15.75" customHeight="1"/>
    <row r="83" spans="1:9" ht="13.5" customHeight="1"/>
    <row r="84" spans="1:9" ht="13.5" customHeight="1"/>
    <row r="85" spans="1:9" ht="14.25" customHeight="1"/>
    <row r="86" spans="1:9" ht="14.25" customHeight="1"/>
    <row r="87" spans="1:9" ht="14.25" customHeight="1">
      <c r="C87" s="46" t="s">
        <v>137</v>
      </c>
    </row>
    <row r="88" spans="1:9" ht="18.75" customHeight="1"/>
    <row r="89" spans="1:9" ht="18.75" customHeight="1"/>
    <row r="90" spans="1:9" ht="52.5" customHeight="1"/>
    <row r="91" spans="1:9" ht="22.5" customHeight="1"/>
    <row r="92" spans="1:9" ht="12" customHeight="1"/>
    <row r="93" spans="1:9" ht="12" customHeight="1"/>
    <row r="94" spans="1:9" ht="12" customHeight="1"/>
    <row r="95" spans="1:9" ht="12" customHeight="1"/>
    <row r="96" spans="1:9" s="35" customFormat="1" ht="12" customHeight="1">
      <c r="A96" s="16"/>
      <c r="B96" s="16"/>
      <c r="C96" s="46"/>
      <c r="D96" s="16"/>
      <c r="E96" s="16"/>
      <c r="F96" s="16"/>
      <c r="G96" s="46"/>
      <c r="H96" s="16"/>
      <c r="I96" s="15"/>
    </row>
    <row r="97" spans="1:9" s="35" customFormat="1" ht="14.25" customHeight="1">
      <c r="A97" s="16"/>
      <c r="B97" s="16"/>
      <c r="C97" s="46"/>
      <c r="D97" s="16"/>
      <c r="E97" s="16"/>
      <c r="F97" s="16"/>
      <c r="G97" s="46"/>
      <c r="H97" s="16"/>
      <c r="I97" s="34"/>
    </row>
    <row r="98" spans="1:9" s="35" customFormat="1" ht="14.25" customHeight="1">
      <c r="A98" s="16"/>
      <c r="B98" s="16"/>
      <c r="C98" s="46"/>
      <c r="D98" s="16"/>
      <c r="E98" s="16"/>
      <c r="F98" s="16"/>
      <c r="G98" s="46"/>
      <c r="H98" s="16"/>
      <c r="I98" s="34"/>
    </row>
    <row r="99" spans="1:9" s="35" customFormat="1" ht="14.25" customHeight="1">
      <c r="A99" s="16"/>
      <c r="B99" s="16"/>
      <c r="C99" s="46"/>
      <c r="D99" s="16"/>
      <c r="E99" s="16"/>
      <c r="F99" s="16"/>
      <c r="G99" s="46"/>
      <c r="H99" s="16"/>
      <c r="I99" s="34"/>
    </row>
    <row r="100" spans="1:9" s="35" customFormat="1" ht="14.25" customHeight="1">
      <c r="A100" s="16"/>
      <c r="B100" s="16"/>
      <c r="C100" s="46"/>
      <c r="D100" s="16"/>
      <c r="E100" s="16"/>
      <c r="F100" s="16"/>
      <c r="G100" s="46"/>
      <c r="H100" s="16"/>
      <c r="I100" s="34"/>
    </row>
    <row r="101" spans="1:9" s="35" customFormat="1" ht="15.75" customHeight="1">
      <c r="A101" s="16"/>
      <c r="B101" s="16"/>
      <c r="C101" s="46"/>
      <c r="D101" s="16"/>
      <c r="E101" s="16"/>
      <c r="F101" s="16"/>
      <c r="G101" s="46"/>
      <c r="H101" s="16"/>
      <c r="I101" s="34"/>
    </row>
    <row r="102" spans="1:9" s="35" customFormat="1" ht="14.25" customHeight="1">
      <c r="A102" s="16"/>
      <c r="B102" s="16"/>
      <c r="C102" s="46"/>
      <c r="D102" s="16"/>
      <c r="E102" s="16"/>
      <c r="F102" s="16"/>
      <c r="G102" s="46"/>
      <c r="H102" s="16"/>
      <c r="I102" s="34"/>
    </row>
    <row r="103" spans="1:9" s="35" customFormat="1" ht="14.25" customHeight="1">
      <c r="A103" s="16"/>
      <c r="B103" s="16"/>
      <c r="C103" s="46"/>
      <c r="D103" s="16"/>
      <c r="E103" s="16"/>
      <c r="F103" s="16"/>
      <c r="G103" s="46"/>
      <c r="H103" s="16"/>
      <c r="I103" s="34"/>
    </row>
    <row r="104" spans="1:9" ht="15.75" customHeight="1">
      <c r="I104" s="34"/>
    </row>
    <row r="105" spans="1:9" ht="15.75" customHeight="1"/>
    <row r="106" spans="1:9" ht="15.75" customHeight="1"/>
    <row r="107" spans="1:9" ht="14.25" customHeight="1"/>
    <row r="108" spans="1:9" ht="25.5" customHeight="1">
      <c r="I108" s="50"/>
    </row>
    <row r="109" spans="1:9" ht="15.75" customHeight="1"/>
    <row r="110" spans="1:9" ht="16.5" customHeight="1"/>
    <row r="111" spans="1:9" ht="15.75" customHeight="1"/>
    <row r="112" spans="1:9" ht="15.75" customHeight="1"/>
    <row r="113" spans="9:9" ht="15.75" customHeight="1"/>
    <row r="114" spans="9:9" ht="15.75" customHeight="1"/>
    <row r="115" spans="9:9" ht="15.75" customHeight="1"/>
    <row r="116" spans="9:9" ht="15.75" customHeight="1"/>
    <row r="117" spans="9:9" ht="15.75" customHeight="1"/>
    <row r="118" spans="9:9" ht="15.75" customHeight="1"/>
    <row r="119" spans="9:9" ht="15.75" customHeight="1">
      <c r="I119" s="42"/>
    </row>
    <row r="120" spans="9:9" ht="15.75" customHeight="1"/>
    <row r="121" spans="9:9" ht="15.75" customHeight="1"/>
    <row r="122" spans="9:9" ht="15.75" customHeight="1"/>
    <row r="123" spans="9:9" ht="16.5" customHeight="1"/>
    <row r="124" spans="9:9" ht="15.75" customHeight="1"/>
    <row r="125" spans="9:9" ht="15.75" customHeight="1"/>
    <row r="126" spans="9:9" ht="13.5" customHeight="1"/>
    <row r="127" spans="9:9" ht="204" customHeight="1"/>
  </sheetData>
  <sheetProtection password="944E" sheet="1" objects="1" scenarios="1"/>
  <mergeCells count="121">
    <mergeCell ref="I33:J33"/>
    <mergeCell ref="A56:G56"/>
    <mergeCell ref="A47:B47"/>
    <mergeCell ref="E47:F47"/>
    <mergeCell ref="A48:B48"/>
    <mergeCell ref="A49:B49"/>
    <mergeCell ref="E46:F46"/>
    <mergeCell ref="A43:B43"/>
    <mergeCell ref="E40:F40"/>
    <mergeCell ref="A41:B41"/>
    <mergeCell ref="A58:B58"/>
    <mergeCell ref="A45:B45"/>
    <mergeCell ref="E43:F43"/>
    <mergeCell ref="A46:B46"/>
    <mergeCell ref="A44:B44"/>
    <mergeCell ref="E44:F44"/>
    <mergeCell ref="E48:F48"/>
    <mergeCell ref="E49:F49"/>
    <mergeCell ref="E45:F45"/>
    <mergeCell ref="A37:B37"/>
    <mergeCell ref="A38:B38"/>
    <mergeCell ref="E38:F38"/>
    <mergeCell ref="E33:F33"/>
    <mergeCell ref="A42:B42"/>
    <mergeCell ref="E42:F42"/>
    <mergeCell ref="E35:F35"/>
    <mergeCell ref="A36:B36"/>
    <mergeCell ref="E41:F41"/>
    <mergeCell ref="A32:B32"/>
    <mergeCell ref="E36:F36"/>
    <mergeCell ref="C23:D23"/>
    <mergeCell ref="B29:D29"/>
    <mergeCell ref="A28:B28"/>
    <mergeCell ref="A30:D30"/>
    <mergeCell ref="C59:D59"/>
    <mergeCell ref="E27:F27"/>
    <mergeCell ref="E31:F31"/>
    <mergeCell ref="E30:F30"/>
    <mergeCell ref="E34:F34"/>
    <mergeCell ref="A35:D35"/>
    <mergeCell ref="A27:B27"/>
    <mergeCell ref="A39:B39"/>
    <mergeCell ref="E39:F39"/>
    <mergeCell ref="A40:B40"/>
    <mergeCell ref="E20:F20"/>
    <mergeCell ref="A16:B16"/>
    <mergeCell ref="E16:F16"/>
    <mergeCell ref="A20:B20"/>
    <mergeCell ref="A14:B14"/>
    <mergeCell ref="E22:F22"/>
    <mergeCell ref="A19:B19"/>
    <mergeCell ref="A17:B17"/>
    <mergeCell ref="E18:H18"/>
    <mergeCell ref="E17:F17"/>
    <mergeCell ref="E13:F13"/>
    <mergeCell ref="E58:F58"/>
    <mergeCell ref="E59:H59"/>
    <mergeCell ref="E14:F14"/>
    <mergeCell ref="E15:F15"/>
    <mergeCell ref="A12:B12"/>
    <mergeCell ref="E19:F19"/>
    <mergeCell ref="A22:B22"/>
    <mergeCell ref="C18:D18"/>
    <mergeCell ref="E21:F21"/>
    <mergeCell ref="E11:F11"/>
    <mergeCell ref="E8:F8"/>
    <mergeCell ref="E9:F9"/>
    <mergeCell ref="A61:B61"/>
    <mergeCell ref="A60:B60"/>
    <mergeCell ref="A26:B26"/>
    <mergeCell ref="A25:B25"/>
    <mergeCell ref="A23:B23"/>
    <mergeCell ref="E12:F12"/>
    <mergeCell ref="A59:B59"/>
    <mergeCell ref="A1:H1"/>
    <mergeCell ref="B3:H3"/>
    <mergeCell ref="B4:H4"/>
    <mergeCell ref="A11:B11"/>
    <mergeCell ref="A10:B10"/>
    <mergeCell ref="A8:B8"/>
    <mergeCell ref="A9:B9"/>
    <mergeCell ref="E10:F10"/>
    <mergeCell ref="A6:B6"/>
    <mergeCell ref="C6:H6"/>
    <mergeCell ref="A76:B76"/>
    <mergeCell ref="E76:F76"/>
    <mergeCell ref="A74:B74"/>
    <mergeCell ref="E78:H78"/>
    <mergeCell ref="A78:D78"/>
    <mergeCell ref="A77:D77"/>
    <mergeCell ref="E77:H77"/>
    <mergeCell ref="A65:B65"/>
    <mergeCell ref="A67:B67"/>
    <mergeCell ref="E28:F28"/>
    <mergeCell ref="E29:F29"/>
    <mergeCell ref="A33:B33"/>
    <mergeCell ref="A50:D50"/>
    <mergeCell ref="A63:B63"/>
    <mergeCell ref="A57:B57"/>
    <mergeCell ref="A34:B34"/>
    <mergeCell ref="E32:H32"/>
    <mergeCell ref="E60:F60"/>
    <mergeCell ref="E62:F62"/>
    <mergeCell ref="A15:B15"/>
    <mergeCell ref="A13:B13"/>
    <mergeCell ref="E23:F23"/>
    <mergeCell ref="E24:F24"/>
    <mergeCell ref="E26:F26"/>
    <mergeCell ref="E25:F25"/>
    <mergeCell ref="A24:B24"/>
    <mergeCell ref="A21:B21"/>
    <mergeCell ref="A70:B70"/>
    <mergeCell ref="E63:F63"/>
    <mergeCell ref="E61:F61"/>
    <mergeCell ref="A66:B66"/>
    <mergeCell ref="E68:F68"/>
    <mergeCell ref="E66:F66"/>
    <mergeCell ref="A68:B68"/>
    <mergeCell ref="A64:B64"/>
    <mergeCell ref="E64:F64"/>
    <mergeCell ref="A62:D62"/>
  </mergeCells>
  <phoneticPr fontId="2" type="noConversion"/>
  <conditionalFormatting sqref="C67">
    <cfRule type="cellIs" dxfId="24" priority="1" stopIfTrue="1" operator="notBetween">
      <formula>$C$66*0.9</formula>
      <formula>$C$67*1.1</formula>
    </cfRule>
  </conditionalFormatting>
  <conditionalFormatting sqref="C66">
    <cfRule type="cellIs" dxfId="23" priority="2" stopIfTrue="1" operator="notBetween">
      <formula>$C$67*1.1</formula>
      <formula>$C$67*0.9</formula>
    </cfRule>
  </conditionalFormatting>
  <conditionalFormatting sqref="C65">
    <cfRule type="cellIs" dxfId="22" priority="3" stopIfTrue="1" operator="greaterThan">
      <formula>$C$64</formula>
    </cfRule>
  </conditionalFormatting>
  <conditionalFormatting sqref="C60:C61">
    <cfRule type="expression" dxfId="21" priority="4" stopIfTrue="1">
      <formula>$C$59&lt;0</formula>
    </cfRule>
    <cfRule type="expression" dxfId="20" priority="5" stopIfTrue="1">
      <formula>$C$60&lt;0</formula>
    </cfRule>
    <cfRule type="expression" priority="6" stopIfTrue="1">
      <formula>OR($B$59&lt;0,$B$60&lt;0)</formula>
    </cfRule>
  </conditionalFormatting>
  <conditionalFormatting sqref="G37">
    <cfRule type="cellIs" dxfId="19" priority="7" stopIfTrue="1" operator="greaterThan">
      <formula>$G$24</formula>
    </cfRule>
  </conditionalFormatting>
  <conditionalFormatting sqref="C46:D46">
    <cfRule type="expression" dxfId="18" priority="8" stopIfTrue="1">
      <formula>$C$46=0</formula>
    </cfRule>
  </conditionalFormatting>
  <conditionalFormatting sqref="G60:G64 G66 G68">
    <cfRule type="cellIs" dxfId="17" priority="9" stopIfTrue="1" operator="lessThan">
      <formula>0</formula>
    </cfRule>
  </conditionalFormatting>
  <conditionalFormatting sqref="E18:H18">
    <cfRule type="expression" dxfId="16" priority="10" stopIfTrue="1">
      <formula>(#REF!+$G$24)=0</formula>
    </cfRule>
  </conditionalFormatting>
  <conditionalFormatting sqref="G42 G47:G49">
    <cfRule type="cellIs" dxfId="15" priority="11" stopIfTrue="1" operator="greaterThan">
      <formula>125</formula>
    </cfRule>
  </conditionalFormatting>
  <conditionalFormatting sqref="G13">
    <cfRule type="cellIs" dxfId="14" priority="12" stopIfTrue="1" operator="notBetween">
      <formula>$G$10*0.9</formula>
      <formula>$G$10*1.1</formula>
    </cfRule>
  </conditionalFormatting>
  <conditionalFormatting sqref="C11">
    <cfRule type="cellIs" dxfId="13" priority="13" stopIfTrue="1" operator="greaterThan">
      <formula>$C$13</formula>
    </cfRule>
    <cfRule type="cellIs" dxfId="12" priority="14" stopIfTrue="1" operator="notBetween">
      <formula>$C$10</formula>
      <formula>$C$12</formula>
    </cfRule>
  </conditionalFormatting>
  <conditionalFormatting sqref="I22">
    <cfRule type="cellIs" dxfId="11" priority="15" stopIfTrue="1" operator="greaterThan">
      <formula>$I$22</formula>
    </cfRule>
  </conditionalFormatting>
  <conditionalFormatting sqref="C9">
    <cfRule type="cellIs" dxfId="10" priority="16" stopIfTrue="1" operator="lessThan">
      <formula>$C$12</formula>
    </cfRule>
  </conditionalFormatting>
  <conditionalFormatting sqref="C8">
    <cfRule type="cellIs" dxfId="9" priority="17" stopIfTrue="1" operator="greaterThan">
      <formula>$C$10</formula>
    </cfRule>
  </conditionalFormatting>
  <conditionalFormatting sqref="C10">
    <cfRule type="cellIs" dxfId="8" priority="18" stopIfTrue="1" operator="lessThan">
      <formula>$C$8</formula>
    </cfRule>
    <cfRule type="cellIs" dxfId="7" priority="19" stopIfTrue="1" operator="greaterThan">
      <formula>$C$9</formula>
    </cfRule>
  </conditionalFormatting>
  <conditionalFormatting sqref="C12">
    <cfRule type="cellIs" dxfId="6" priority="20" stopIfTrue="1" operator="greaterThan">
      <formula>$C$9</formula>
    </cfRule>
    <cfRule type="cellIs" dxfId="5" priority="21" stopIfTrue="1" operator="lessThan">
      <formula>$C$8</formula>
    </cfRule>
  </conditionalFormatting>
  <conditionalFormatting sqref="G16:G17">
    <cfRule type="cellIs" dxfId="4" priority="22" stopIfTrue="1" operator="lessThan">
      <formula>$G$15</formula>
    </cfRule>
  </conditionalFormatting>
  <conditionalFormatting sqref="G10">
    <cfRule type="cellIs" dxfId="3" priority="23" stopIfTrue="1" operator="notBetween">
      <formula>$G$8</formula>
      <formula>$G$9</formula>
    </cfRule>
  </conditionalFormatting>
  <conditionalFormatting sqref="G34">
    <cfRule type="cellIs" dxfId="2" priority="24" stopIfTrue="1" operator="lessThan">
      <formula>$G$56</formula>
    </cfRule>
  </conditionalFormatting>
  <conditionalFormatting sqref="C13">
    <cfRule type="cellIs" dxfId="1" priority="25" stopIfTrue="1" operator="lessThan">
      <formula>MAX($C$10,$C$11,$C$12)</formula>
    </cfRule>
  </conditionalFormatting>
  <conditionalFormatting sqref="G35">
    <cfRule type="cellIs" dxfId="0" priority="26" stopIfTrue="1" operator="greaterThan">
      <formula>$G$34</formula>
    </cfRule>
  </conditionalFormatting>
  <pageMargins left="0.74803149606299213" right="0.74803149606299213" top="0.19685039370078741" bottom="0.19685039370078741" header="0" footer="0.51181102362204722"/>
  <pageSetup scale="53" orientation="portrait" r:id="rId1"/>
  <headerFooter alignWithMargins="0"/>
  <ignoredErrors>
    <ignoredError sqref="G76 C76" evalError="1"/>
  </ignoredErrors>
  <drawing r:id="rId2"/>
  <legacyDrawing r:id="rId3"/>
  <controls>
    <mc:AlternateContent xmlns:mc="http://schemas.openxmlformats.org/markup-compatibility/2006">
      <mc:Choice Requires="x14">
        <control shapeId="1252" r:id="rId4" name="ComboBox1">
          <controlPr defaultSize="0" autoFill="0" autoLine="0" autoPict="0" linkedCell="B2" listFillRange="IC!A3:A4" r:id="rId5">
            <anchor moveWithCells="1">
              <from>
                <xdr:col>1</xdr:col>
                <xdr:colOff>0</xdr:colOff>
                <xdr:row>1</xdr:row>
                <xdr:rowOff>22860</xdr:rowOff>
              </from>
              <to>
                <xdr:col>2</xdr:col>
                <xdr:colOff>30480</xdr:colOff>
                <xdr:row>1</xdr:row>
                <xdr:rowOff>236220</xdr:rowOff>
              </to>
            </anchor>
          </controlPr>
        </control>
      </mc:Choice>
      <mc:Fallback>
        <control shapeId="1252" r:id="rId4" name="ComboBox1"/>
      </mc:Fallback>
    </mc:AlternateContent>
    <mc:AlternateContent xmlns:mc="http://schemas.openxmlformats.org/markup-compatibility/2006">
      <mc:Choice Requires="x14">
        <control shapeId="1251" r:id="rId6" name="C2B">
          <controlPr defaultSize="0" autoLine="0" linkedCell="C71" r:id="rId7">
            <anchor moveWithCells="1" sizeWithCells="1">
              <from>
                <xdr:col>1</xdr:col>
                <xdr:colOff>0</xdr:colOff>
                <xdr:row>70</xdr:row>
                <xdr:rowOff>30480</xdr:rowOff>
              </from>
              <to>
                <xdr:col>1</xdr:col>
                <xdr:colOff>2202180</xdr:colOff>
                <xdr:row>70</xdr:row>
                <xdr:rowOff>236220</xdr:rowOff>
              </to>
            </anchor>
          </controlPr>
        </control>
      </mc:Choice>
      <mc:Fallback>
        <control shapeId="1251" r:id="rId6" name="C2B"/>
      </mc:Fallback>
    </mc:AlternateContent>
    <mc:AlternateContent xmlns:mc="http://schemas.openxmlformats.org/markup-compatibility/2006">
      <mc:Choice Requires="x14">
        <control shapeId="1241" r:id="rId8" name="Other">
          <controlPr defaultSize="0" autoLine="0" autoPict="0" linkedCell="PS!F9" r:id="rId9">
            <anchor moveWithCells="1">
              <from>
                <xdr:col>2</xdr:col>
                <xdr:colOff>91440</xdr:colOff>
                <xdr:row>30</xdr:row>
                <xdr:rowOff>22860</xdr:rowOff>
              </from>
              <to>
                <xdr:col>3</xdr:col>
                <xdr:colOff>320040</xdr:colOff>
                <xdr:row>30</xdr:row>
                <xdr:rowOff>289560</xdr:rowOff>
              </to>
            </anchor>
          </controlPr>
        </control>
      </mc:Choice>
      <mc:Fallback>
        <control shapeId="1241" r:id="rId8" name="Other"/>
      </mc:Fallback>
    </mc:AlternateContent>
    <mc:AlternateContent xmlns:mc="http://schemas.openxmlformats.org/markup-compatibility/2006">
      <mc:Choice Requires="x14">
        <control shapeId="1240" r:id="rId10" name="Vo">
          <controlPr defaultSize="0" autoLine="0" autoPict="0" linkedCell="PS!E9" r:id="rId11">
            <anchor moveWithCells="1">
              <from>
                <xdr:col>1</xdr:col>
                <xdr:colOff>541020</xdr:colOff>
                <xdr:row>30</xdr:row>
                <xdr:rowOff>22860</xdr:rowOff>
              </from>
              <to>
                <xdr:col>1</xdr:col>
                <xdr:colOff>1463040</xdr:colOff>
                <xdr:row>30</xdr:row>
                <xdr:rowOff>289560</xdr:rowOff>
              </to>
            </anchor>
          </controlPr>
        </control>
      </mc:Choice>
      <mc:Fallback>
        <control shapeId="1240" r:id="rId10" name="Vo"/>
      </mc:Fallback>
    </mc:AlternateContent>
    <mc:AlternateContent xmlns:mc="http://schemas.openxmlformats.org/markup-compatibility/2006">
      <mc:Choice Requires="x14">
        <control shapeId="1239" r:id="rId12" name="Vin">
          <controlPr defaultSize="0" autoLine="0" autoPict="0" linkedCell="PS!D9" r:id="rId13">
            <anchor moveWithCells="1">
              <from>
                <xdr:col>0</xdr:col>
                <xdr:colOff>502920</xdr:colOff>
                <xdr:row>30</xdr:row>
                <xdr:rowOff>7620</xdr:rowOff>
              </from>
              <to>
                <xdr:col>0</xdr:col>
                <xdr:colOff>1463040</xdr:colOff>
                <xdr:row>30</xdr:row>
                <xdr:rowOff>274320</xdr:rowOff>
              </to>
            </anchor>
          </controlPr>
        </control>
      </mc:Choice>
      <mc:Fallback>
        <control shapeId="1239" r:id="rId12" name="Vin"/>
      </mc:Fallback>
    </mc:AlternateContent>
    <mc:AlternateContent xmlns:mc="http://schemas.openxmlformats.org/markup-compatibility/2006">
      <mc:Choice Requires="x14">
        <control shapeId="1230" r:id="rId14" name="TextBox2">
          <controlPr defaultSize="0" autoLine="0" linkedCell="G75" r:id="rId15">
            <anchor moveWithCells="1" sizeWithCells="1">
              <from>
                <xdr:col>1</xdr:col>
                <xdr:colOff>2133600</xdr:colOff>
                <xdr:row>51</xdr:row>
                <xdr:rowOff>190500</xdr:rowOff>
              </from>
              <to>
                <xdr:col>3</xdr:col>
                <xdr:colOff>114300</xdr:colOff>
                <xdr:row>53</xdr:row>
                <xdr:rowOff>0</xdr:rowOff>
              </to>
            </anchor>
          </controlPr>
        </control>
      </mc:Choice>
      <mc:Fallback>
        <control shapeId="1230" r:id="rId14" name="TextBox2"/>
      </mc:Fallback>
    </mc:AlternateContent>
    <mc:AlternateContent xmlns:mc="http://schemas.openxmlformats.org/markup-compatibility/2006">
      <mc:Choice Requires="x14">
        <control shapeId="1217" r:id="rId16" name="Rfs">
          <controlPr defaultSize="0" autoLine="0" linkedCell="PS!B3" r:id="rId17">
            <anchor moveWithCells="1">
              <from>
                <xdr:col>4</xdr:col>
                <xdr:colOff>1706880</xdr:colOff>
                <xdr:row>6</xdr:row>
                <xdr:rowOff>22860</xdr:rowOff>
              </from>
              <to>
                <xdr:col>5</xdr:col>
                <xdr:colOff>60960</xdr:colOff>
                <xdr:row>7</xdr:row>
                <xdr:rowOff>30480</xdr:rowOff>
              </to>
            </anchor>
          </controlPr>
        </control>
      </mc:Choice>
      <mc:Fallback>
        <control shapeId="1217" r:id="rId16" name="Rfs"/>
      </mc:Fallback>
    </mc:AlternateContent>
    <mc:AlternateContent xmlns:mc="http://schemas.openxmlformats.org/markup-compatibility/2006">
      <mc:Choice Requires="x14">
        <control shapeId="1216" r:id="rId18" name="Efs">
          <controlPr defaultSize="0" autoLine="0" r:id="rId19">
            <anchor moveWithCells="1">
              <from>
                <xdr:col>5</xdr:col>
                <xdr:colOff>624840</xdr:colOff>
                <xdr:row>6</xdr:row>
                <xdr:rowOff>30480</xdr:rowOff>
              </from>
              <to>
                <xdr:col>5</xdr:col>
                <xdr:colOff>1470660</xdr:colOff>
                <xdr:row>7</xdr:row>
                <xdr:rowOff>15240</xdr:rowOff>
              </to>
            </anchor>
          </controlPr>
        </control>
      </mc:Choice>
      <mc:Fallback>
        <control shapeId="1216" r:id="rId18" name="Efs"/>
      </mc:Fallback>
    </mc:AlternateContent>
    <mc:AlternateContent xmlns:mc="http://schemas.openxmlformats.org/markup-compatibility/2006">
      <mc:Choice Requires="x14">
        <control shapeId="1168" r:id="rId20" name="VinT">
          <controlPr defaultSize="0" autoLine="0" linkedCell="C58" r:id="rId21">
            <anchor moveWithCells="1" sizeWithCells="1">
              <from>
                <xdr:col>0</xdr:col>
                <xdr:colOff>114300</xdr:colOff>
                <xdr:row>51</xdr:row>
                <xdr:rowOff>190500</xdr:rowOff>
              </from>
              <to>
                <xdr:col>0</xdr:col>
                <xdr:colOff>1264920</xdr:colOff>
                <xdr:row>53</xdr:row>
                <xdr:rowOff>15240</xdr:rowOff>
              </to>
            </anchor>
          </controlPr>
        </control>
      </mc:Choice>
      <mc:Fallback>
        <control shapeId="1168" r:id="rId20" name="VinT"/>
      </mc:Fallback>
    </mc:AlternateContent>
    <mc:AlternateContent xmlns:mc="http://schemas.openxmlformats.org/markup-compatibility/2006">
      <mc:Choice Requires="x14">
        <control shapeId="1153" r:id="rId22" name="CthB">
          <controlPr defaultSize="0" autoLine="0" autoPict="0" linkedCell="G65" r:id="rId23">
            <anchor moveWithCells="1" sizeWithCells="1">
              <from>
                <xdr:col>5</xdr:col>
                <xdr:colOff>0</xdr:colOff>
                <xdr:row>64</xdr:row>
                <xdr:rowOff>7620</xdr:rowOff>
              </from>
              <to>
                <xdr:col>6</xdr:col>
                <xdr:colOff>0</xdr:colOff>
                <xdr:row>65</xdr:row>
                <xdr:rowOff>7620</xdr:rowOff>
              </to>
            </anchor>
          </controlPr>
        </control>
      </mc:Choice>
      <mc:Fallback>
        <control shapeId="1153" r:id="rId22" name="CthB"/>
      </mc:Fallback>
    </mc:AlternateContent>
    <mc:AlternateContent xmlns:mc="http://schemas.openxmlformats.org/markup-compatibility/2006">
      <mc:Choice Requires="x14">
        <control shapeId="1135" r:id="rId24" name="Reset">
          <controlPr defaultSize="0" autoLine="0" r:id="rId25">
            <anchor moveWithCells="1">
              <from>
                <xdr:col>5</xdr:col>
                <xdr:colOff>1569720</xdr:colOff>
                <xdr:row>55</xdr:row>
                <xdr:rowOff>38100</xdr:rowOff>
              </from>
              <to>
                <xdr:col>6</xdr:col>
                <xdr:colOff>861060</xdr:colOff>
                <xdr:row>55</xdr:row>
                <xdr:rowOff>342900</xdr:rowOff>
              </to>
            </anchor>
          </controlPr>
        </control>
      </mc:Choice>
      <mc:Fallback>
        <control shapeId="1135" r:id="rId24" name="Reset"/>
      </mc:Fallback>
    </mc:AlternateContent>
    <mc:AlternateContent xmlns:mc="http://schemas.openxmlformats.org/markup-compatibility/2006">
      <mc:Choice Requires="x14">
        <control shapeId="1134" r:id="rId26" name="RthT">
          <controlPr defaultSize="0" autoLine="0" linkedCell="G67" r:id="rId27">
            <anchor moveWithCells="1" sizeWithCells="1">
              <from>
                <xdr:col>1</xdr:col>
                <xdr:colOff>457200</xdr:colOff>
                <xdr:row>51</xdr:row>
                <xdr:rowOff>182880</xdr:rowOff>
              </from>
              <to>
                <xdr:col>1</xdr:col>
                <xdr:colOff>1531620</xdr:colOff>
                <xdr:row>53</xdr:row>
                <xdr:rowOff>0</xdr:rowOff>
              </to>
            </anchor>
          </controlPr>
        </control>
      </mc:Choice>
      <mc:Fallback>
        <control shapeId="1134" r:id="rId26" name="RthT"/>
      </mc:Fallback>
    </mc:AlternateContent>
    <mc:AlternateContent xmlns:mc="http://schemas.openxmlformats.org/markup-compatibility/2006">
      <mc:Choice Requires="x14">
        <control shapeId="1133" r:id="rId28" name="IoT">
          <controlPr defaultSize="0" autoLine="0" autoPict="0" linkedCell="G58" r:id="rId29">
            <anchor moveWithCells="1" sizeWithCells="1">
              <from>
                <xdr:col>5</xdr:col>
                <xdr:colOff>182880</xdr:colOff>
                <xdr:row>55</xdr:row>
                <xdr:rowOff>182880</xdr:rowOff>
              </from>
              <to>
                <xdr:col>5</xdr:col>
                <xdr:colOff>1043940</xdr:colOff>
                <xdr:row>55</xdr:row>
                <xdr:rowOff>182880</xdr:rowOff>
              </to>
            </anchor>
          </controlPr>
        </control>
      </mc:Choice>
      <mc:Fallback>
        <control shapeId="1133" r:id="rId28" name="IoT"/>
      </mc:Fallback>
    </mc:AlternateContent>
    <mc:AlternateContent xmlns:mc="http://schemas.openxmlformats.org/markup-compatibility/2006">
      <mc:Choice Requires="x14">
        <control shapeId="1125" r:id="rId30" name="IoB">
          <controlPr defaultSize="0" autoLine="0" autoPict="0" linkedCell="F75" r:id="rId31">
            <anchor moveWithCells="1" sizeWithCells="1">
              <from>
                <xdr:col>5</xdr:col>
                <xdr:colOff>0</xdr:colOff>
                <xdr:row>73</xdr:row>
                <xdr:rowOff>198120</xdr:rowOff>
              </from>
              <to>
                <xdr:col>6</xdr:col>
                <xdr:colOff>0</xdr:colOff>
                <xdr:row>74</xdr:row>
                <xdr:rowOff>198120</xdr:rowOff>
              </to>
            </anchor>
          </controlPr>
        </control>
      </mc:Choice>
      <mc:Fallback>
        <control shapeId="1125" r:id="rId30" name="IoB"/>
      </mc:Fallback>
    </mc:AlternateContent>
    <mc:AlternateContent xmlns:mc="http://schemas.openxmlformats.org/markup-compatibility/2006">
      <mc:Choice Requires="x14">
        <control shapeId="1124" r:id="rId32" name="VinB">
          <controlPr defaultSize="0" autoLine="0" autoPict="0" linkedCell="B75" r:id="rId33">
            <anchor moveWithCells="1" sizeWithCells="1">
              <from>
                <xdr:col>1</xdr:col>
                <xdr:colOff>0</xdr:colOff>
                <xdr:row>74</xdr:row>
                <xdr:rowOff>7620</xdr:rowOff>
              </from>
              <to>
                <xdr:col>2</xdr:col>
                <xdr:colOff>0</xdr:colOff>
                <xdr:row>75</xdr:row>
                <xdr:rowOff>7620</xdr:rowOff>
              </to>
            </anchor>
          </controlPr>
        </control>
      </mc:Choice>
      <mc:Fallback>
        <control shapeId="1124" r:id="rId32" name="VinB"/>
      </mc:Fallback>
    </mc:AlternateContent>
    <mc:AlternateContent xmlns:mc="http://schemas.openxmlformats.org/markup-compatibility/2006">
      <mc:Choice Requires="x14">
        <control shapeId="1080" r:id="rId34" name="CthpB">
          <controlPr defaultSize="0" autoLine="0" linkedCell="G69" r:id="rId35">
            <anchor moveWithCells="1" sizeWithCells="1">
              <from>
                <xdr:col>5</xdr:col>
                <xdr:colOff>7620</xdr:colOff>
                <xdr:row>68</xdr:row>
                <xdr:rowOff>0</xdr:rowOff>
              </from>
              <to>
                <xdr:col>6</xdr:col>
                <xdr:colOff>7620</xdr:colOff>
                <xdr:row>69</xdr:row>
                <xdr:rowOff>0</xdr:rowOff>
              </to>
            </anchor>
          </controlPr>
        </control>
      </mc:Choice>
      <mc:Fallback>
        <control shapeId="1080" r:id="rId34" name="CthpB"/>
      </mc:Fallback>
    </mc:AlternateContent>
    <mc:AlternateContent xmlns:mc="http://schemas.openxmlformats.org/markup-compatibility/2006">
      <mc:Choice Requires="x14">
        <control shapeId="1079" r:id="rId36" name="RthB">
          <controlPr defaultSize="0" autoLine="0" autoPict="0" linkedCell="G67" r:id="rId37">
            <anchor moveWithCells="1" sizeWithCells="1">
              <from>
                <xdr:col>5</xdr:col>
                <xdr:colOff>22860</xdr:colOff>
                <xdr:row>66</xdr:row>
                <xdr:rowOff>7620</xdr:rowOff>
              </from>
              <to>
                <xdr:col>6</xdr:col>
                <xdr:colOff>22860</xdr:colOff>
                <xdr:row>67</xdr:row>
                <xdr:rowOff>7620</xdr:rowOff>
              </to>
            </anchor>
          </controlPr>
        </control>
      </mc:Choice>
      <mc:Fallback>
        <control shapeId="1079" r:id="rId36" name="RthB"/>
      </mc:Fallback>
    </mc:AlternateContent>
    <mc:AlternateContent xmlns:mc="http://schemas.openxmlformats.org/markup-compatibility/2006">
      <mc:Choice Requires="x14">
        <control shapeId="1077" r:id="rId38" name="C1B">
          <controlPr defaultSize="0" autoLine="0" linkedCell="C69" r:id="rId39">
            <anchor moveWithCells="1" sizeWithCells="1">
              <from>
                <xdr:col>1</xdr:col>
                <xdr:colOff>0</xdr:colOff>
                <xdr:row>68</xdr:row>
                <xdr:rowOff>30480</xdr:rowOff>
              </from>
              <to>
                <xdr:col>2</xdr:col>
                <xdr:colOff>0</xdr:colOff>
                <xdr:row>68</xdr:row>
                <xdr:rowOff>228600</xdr:rowOff>
              </to>
            </anchor>
          </controlPr>
        </control>
      </mc:Choice>
      <mc:Fallback>
        <control shapeId="1077" r:id="rId38" name="C1B"/>
      </mc:Fallback>
    </mc:AlternateContent>
    <mc:AlternateContent xmlns:mc="http://schemas.openxmlformats.org/markup-compatibility/2006">
      <mc:Choice Requires="x14">
        <control shapeId="1050" r:id="rId40" name="CheckBox1">
          <controlPr defaultSize="0" autoLine="0" linkedCell="PS!B73" r:id="rId41">
            <anchor moveWithCells="1">
              <from>
                <xdr:col>4</xdr:col>
                <xdr:colOff>30480</xdr:colOff>
                <xdr:row>56</xdr:row>
                <xdr:rowOff>15240</xdr:rowOff>
              </from>
              <to>
                <xdr:col>4</xdr:col>
                <xdr:colOff>2103120</xdr:colOff>
                <xdr:row>57</xdr:row>
                <xdr:rowOff>15240</xdr:rowOff>
              </to>
            </anchor>
          </controlPr>
        </control>
      </mc:Choice>
      <mc:Fallback>
        <control shapeId="1050" r:id="rId40" name="CheckBox1"/>
      </mc:Fallback>
    </mc:AlternateContent>
    <mc:AlternateContent xmlns:mc="http://schemas.openxmlformats.org/markup-compatibility/2006">
      <mc:Choice Requires="x14">
        <control shapeId="1039" r:id="rId42" name="TextRs">
          <controlPr defaultSize="0" disabled="1" autoLine="0" autoPict="0" linkedCell="I87" r:id="rId43">
            <anchor moveWithCells="1" sizeWithCells="1">
              <from>
                <xdr:col>4</xdr:col>
                <xdr:colOff>1249680</xdr:colOff>
                <xdr:row>55</xdr:row>
                <xdr:rowOff>198120</xdr:rowOff>
              </from>
              <to>
                <xdr:col>4</xdr:col>
                <xdr:colOff>2255520</xdr:colOff>
                <xdr:row>55</xdr:row>
                <xdr:rowOff>198120</xdr:rowOff>
              </to>
            </anchor>
          </controlPr>
        </control>
      </mc:Choice>
      <mc:Fallback>
        <control shapeId="1039" r:id="rId42" name="TextRs"/>
      </mc:Fallback>
    </mc:AlternateContent>
  </control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D22A2-DC76-4705-BAE5-DC8194F205C3}">
  <sheetPr codeName="Sheet3"/>
  <dimension ref="A1:M21"/>
  <sheetViews>
    <sheetView workbookViewId="0">
      <selection activeCell="D23" sqref="D23"/>
    </sheetView>
  </sheetViews>
  <sheetFormatPr defaultColWidth="9.109375" defaultRowHeight="13.2"/>
  <cols>
    <col min="1" max="1" width="58.33203125" style="137" customWidth="1"/>
    <col min="2" max="2" width="21.88671875" style="137" customWidth="1"/>
    <col min="3" max="3" width="19.33203125" style="137" customWidth="1"/>
    <col min="4" max="4" width="20.44140625" style="137" customWidth="1"/>
    <col min="5" max="5" width="17" style="137" customWidth="1"/>
    <col min="6" max="6" width="13.6640625" style="137" customWidth="1"/>
    <col min="7" max="7" width="14" style="137" customWidth="1"/>
    <col min="8" max="8" width="11.44140625" style="137" customWidth="1"/>
    <col min="9" max="14" width="10" style="137" customWidth="1"/>
    <col min="15" max="15" width="9.109375" style="137"/>
    <col min="16" max="17" width="10" style="137" customWidth="1"/>
    <col min="18" max="18" width="11.44140625" style="137" customWidth="1"/>
    <col min="19" max="19" width="9.109375" style="137"/>
    <col min="20" max="20" width="10" style="137" customWidth="1"/>
    <col min="21" max="21" width="10.33203125" style="137" customWidth="1"/>
    <col min="22" max="16384" width="9.109375" style="137"/>
  </cols>
  <sheetData>
    <row r="1" spans="1:13" ht="18.75" customHeight="1">
      <c r="A1" s="133" t="s">
        <v>201</v>
      </c>
      <c r="B1" s="134"/>
      <c r="C1" s="134"/>
      <c r="D1" s="134"/>
      <c r="E1" s="135"/>
      <c r="F1" s="135"/>
      <c r="G1" s="135"/>
      <c r="H1" s="135"/>
      <c r="I1" s="135"/>
      <c r="J1" s="135"/>
      <c r="K1" s="135"/>
      <c r="L1" s="135"/>
      <c r="M1" s="136"/>
    </row>
    <row r="2" spans="1:13" ht="30" customHeight="1">
      <c r="A2" s="138" t="s">
        <v>202</v>
      </c>
      <c r="B2" s="139"/>
      <c r="C2" s="139"/>
      <c r="D2" s="139"/>
    </row>
    <row r="3" spans="1:13" s="141" customFormat="1">
      <c r="A3" s="140" t="s">
        <v>203</v>
      </c>
      <c r="B3" s="140"/>
      <c r="C3" s="140"/>
      <c r="D3" s="140"/>
    </row>
    <row r="4" spans="1:13" s="144" customFormat="1" ht="13.8" thickBot="1">
      <c r="A4" s="142"/>
      <c r="B4" s="143"/>
      <c r="C4" s="143"/>
    </row>
    <row r="5" spans="1:13" s="147" customFormat="1">
      <c r="A5" s="145"/>
      <c r="B5" s="146"/>
      <c r="C5" s="146"/>
      <c r="D5" s="146"/>
      <c r="E5" s="146"/>
      <c r="F5" s="146"/>
      <c r="G5" s="146"/>
      <c r="H5" s="146"/>
      <c r="I5" s="146"/>
      <c r="J5" s="146"/>
      <c r="K5" s="146"/>
      <c r="L5" s="146"/>
      <c r="M5" s="146"/>
    </row>
    <row r="6" spans="1:13" s="149" customFormat="1">
      <c r="A6" s="148" t="s">
        <v>204</v>
      </c>
      <c r="B6" s="149" t="s">
        <v>205</v>
      </c>
      <c r="C6" s="149" t="s">
        <v>256</v>
      </c>
    </row>
    <row r="7" spans="1:13" s="151" customFormat="1">
      <c r="A7" s="150" t="s">
        <v>18</v>
      </c>
      <c r="B7" s="151" t="s">
        <v>216</v>
      </c>
      <c r="C7" s="151" t="s">
        <v>293</v>
      </c>
    </row>
    <row r="8" spans="1:13">
      <c r="A8" s="152" t="s">
        <v>206</v>
      </c>
      <c r="B8" s="137">
        <v>6.8</v>
      </c>
      <c r="C8" s="137">
        <v>10</v>
      </c>
    </row>
    <row r="9" spans="1:13">
      <c r="A9" s="152" t="s">
        <v>207</v>
      </c>
      <c r="B9" s="151">
        <v>67.400000000000006</v>
      </c>
      <c r="C9" s="151">
        <v>21.4</v>
      </c>
    </row>
    <row r="10" spans="1:13" s="154" customFormat="1">
      <c r="A10" s="153" t="s">
        <v>208</v>
      </c>
      <c r="B10" s="154">
        <v>1.8</v>
      </c>
      <c r="C10" s="154">
        <v>16</v>
      </c>
    </row>
    <row r="11" spans="1:13" s="154" customFormat="1">
      <c r="A11" s="153" t="s">
        <v>209</v>
      </c>
      <c r="B11" s="154">
        <v>1.7</v>
      </c>
      <c r="C11" s="154">
        <v>9</v>
      </c>
    </row>
    <row r="12" spans="1:13" s="154" customFormat="1">
      <c r="A12" s="155" t="s">
        <v>210</v>
      </c>
    </row>
    <row r="13" spans="1:13" s="141" customFormat="1" ht="13.8" thickBot="1">
      <c r="A13" s="156"/>
    </row>
    <row r="14" spans="1:13" s="158" customFormat="1">
      <c r="A14" s="157"/>
    </row>
    <row r="15" spans="1:13">
      <c r="A15" s="152" t="s">
        <v>211</v>
      </c>
    </row>
    <row r="16" spans="1:13">
      <c r="A16" s="159" t="s">
        <v>212</v>
      </c>
    </row>
    <row r="17" spans="1:1">
      <c r="A17" s="152" t="s">
        <v>213</v>
      </c>
    </row>
    <row r="18" spans="1:1">
      <c r="A18" s="152" t="s">
        <v>214</v>
      </c>
    </row>
    <row r="19" spans="1:1">
      <c r="A19" s="152" t="s">
        <v>215</v>
      </c>
    </row>
    <row r="20" spans="1:1" s="154" customFormat="1">
      <c r="A20" s="155" t="s">
        <v>210</v>
      </c>
    </row>
    <row r="21" spans="1:1" s="144" customFormat="1" ht="13.8" thickBot="1">
      <c r="A21" s="160"/>
    </row>
  </sheetData>
  <phoneticPr fontId="2" type="noConversion"/>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5B3D-5571-49FA-8235-502423AAE600}">
  <sheetPr codeName="Sheet5"/>
  <dimension ref="A1:F85"/>
  <sheetViews>
    <sheetView workbookViewId="0">
      <selection activeCell="B2" sqref="B2"/>
    </sheetView>
  </sheetViews>
  <sheetFormatPr defaultRowHeight="13.2"/>
  <cols>
    <col min="1" max="1" width="36.109375" style="4" customWidth="1"/>
    <col min="2" max="2" width="20.5546875" style="6" customWidth="1"/>
    <col min="3" max="3" width="12.33203125" customWidth="1"/>
  </cols>
  <sheetData>
    <row r="1" spans="1:6">
      <c r="A1" s="100" t="s">
        <v>146</v>
      </c>
      <c r="B1" s="5" t="s">
        <v>340</v>
      </c>
    </row>
    <row r="2" spans="1:6">
      <c r="B2">
        <f>MATCH(Main!$B$2,IC!A3:A4,0)</f>
        <v>2</v>
      </c>
    </row>
    <row r="3" spans="1:6">
      <c r="A3" s="100" t="s">
        <v>147</v>
      </c>
      <c r="B3" s="5" t="b">
        <v>1</v>
      </c>
    </row>
    <row r="4" spans="1:6">
      <c r="A4" s="100" t="s">
        <v>140</v>
      </c>
      <c r="B4" s="6">
        <f>23174*Main!G10^(-1.1089)</f>
        <v>140.3463113005707</v>
      </c>
    </row>
    <row r="5" spans="1:6">
      <c r="A5" s="100" t="s">
        <v>139</v>
      </c>
      <c r="B5" s="81">
        <f>8618.2*Main!G12^(-0.9011)</f>
        <v>100.35536514458559</v>
      </c>
    </row>
    <row r="6" spans="1:6">
      <c r="A6" s="101" t="s">
        <v>20</v>
      </c>
      <c r="B6" s="3">
        <f>Main!C13+Main!G30</f>
        <v>200.38</v>
      </c>
    </row>
    <row r="7" spans="1:6">
      <c r="A7" s="100" t="s">
        <v>148</v>
      </c>
      <c r="B7" s="104">
        <f>(B6-Main!C12)/(B6-(Rl+Main!C39)*0.001*Io)</f>
        <v>0.93022053333808474</v>
      </c>
    </row>
    <row r="8" spans="1:6">
      <c r="A8" s="103" t="s">
        <v>149</v>
      </c>
      <c r="B8" s="14">
        <f>(B6-Main!C10)/(B6-(Rl+Main!C39)*0.001*Io)</f>
        <v>0.95018448941358824</v>
      </c>
    </row>
    <row r="9" spans="1:6">
      <c r="A9" s="100" t="s">
        <v>150</v>
      </c>
      <c r="B9" s="14">
        <f>(B6-Main!C11)/(B6-(Rl+Main!C39)*0.001*Io)</f>
        <v>0.94020251137583655</v>
      </c>
      <c r="D9" t="b">
        <v>1</v>
      </c>
      <c r="E9" t="b">
        <v>0</v>
      </c>
      <c r="F9" t="b">
        <v>0</v>
      </c>
    </row>
    <row r="10" spans="1:6">
      <c r="A10" s="7" t="b">
        <f>B7&lt;0.5</f>
        <v>0</v>
      </c>
      <c r="B10" s="8" t="b">
        <f>B8&gt;0.5</f>
        <v>1</v>
      </c>
    </row>
    <row r="11" spans="1:6">
      <c r="A11" s="102" t="s">
        <v>26</v>
      </c>
      <c r="B11" s="9"/>
    </row>
    <row r="12" spans="1:6">
      <c r="A12" s="105" t="s">
        <v>151</v>
      </c>
      <c r="B12" s="11">
        <f>B6*(1-B7)^2*B7/Main!G13/Io/(1*Main!C15)*10^5*0.95</f>
        <v>24.547685521511067</v>
      </c>
      <c r="C12">
        <f>B6*(1-B8)^2*B8/Main!G13/Io/(1*Main!C15)*10^5*0.95</f>
        <v>12.779281786868228</v>
      </c>
    </row>
    <row r="13" spans="1:6">
      <c r="A13" s="105" t="s">
        <v>155</v>
      </c>
      <c r="B13" s="11">
        <f>Main!C13*Io/(Main!C11*B37)</f>
        <v>8.3333333333333339</v>
      </c>
      <c r="C13">
        <f>Main!C13*Io/(Main!C11*B53/100)</f>
        <v>8.8914006567513066</v>
      </c>
      <c r="D13">
        <f>Main!C13*Io/(Main!C11*C53/100)</f>
        <v>8.9465447806415739</v>
      </c>
      <c r="E13">
        <f>Main!C13*Io/(Main!C11*D53/100)</f>
        <v>8.9521486199758602</v>
      </c>
      <c r="F13">
        <f>Main!C13*Io/(Main!C11*E53/100)</f>
        <v>8.9527196510441094</v>
      </c>
    </row>
    <row r="14" spans="1:6">
      <c r="A14" s="105" t="s">
        <v>156</v>
      </c>
      <c r="B14" s="11">
        <f>Main!C13*Io/(Main!C10*0.85)</f>
        <v>11.764705882352942</v>
      </c>
      <c r="C14">
        <f>IF(C13&gt;=B15,C13-B15,0)</f>
        <v>3.2784899548360809</v>
      </c>
      <c r="D14">
        <f>IF(D13&gt;=B15,D13-B15,0)</f>
        <v>3.3336340787263481</v>
      </c>
      <c r="E14">
        <f>IF(E13&gt;=B15,E13-B15,0)</f>
        <v>3.3392379180606344</v>
      </c>
      <c r="F14">
        <f>IF(E13&gt;=B15,E13-B15,0)</f>
        <v>3.3392379180606344</v>
      </c>
    </row>
    <row r="15" spans="1:6">
      <c r="A15" s="105" t="s">
        <v>159</v>
      </c>
      <c r="B15" s="11">
        <f>B6*(1-B9)*B9/Main!C20/Main!G13*500</f>
        <v>5.6129107019152258</v>
      </c>
      <c r="C15" s="106">
        <f>IF(B13&gt;=B15,B13-B15,0)</f>
        <v>2.7204226314181081</v>
      </c>
    </row>
    <row r="16" spans="1:6">
      <c r="A16" s="4" t="s">
        <v>180</v>
      </c>
      <c r="B16" s="6">
        <f>B15*200/B13</f>
        <v>134.70985684596539</v>
      </c>
    </row>
    <row r="17" spans="1:4">
      <c r="A17" s="4" t="s">
        <v>152</v>
      </c>
      <c r="B17" s="6">
        <f>B6*(1-B8)*B8/Main!C20/Main!G13*500+B14</f>
        <v>16.490298767350701</v>
      </c>
    </row>
    <row r="18" spans="1:4">
      <c r="A18" s="7" t="s">
        <v>153</v>
      </c>
      <c r="B18" s="8">
        <f>IF(B8&lt;0.5, 2.2, 2.2-(B8-0.5)*(2.5-2.25)/(0.8-0.3))</f>
        <v>1.9749077552932062</v>
      </c>
      <c r="C18" s="107"/>
    </row>
    <row r="19" spans="1:4">
      <c r="A19" s="108" t="s">
        <v>154</v>
      </c>
      <c r="B19" s="3"/>
      <c r="C19" s="107"/>
    </row>
    <row r="20" spans="1:4">
      <c r="A20" s="4" t="s">
        <v>158</v>
      </c>
      <c r="B20" s="6">
        <f>B15/SQRT(3)</f>
        <v>3.2406155046880869</v>
      </c>
      <c r="C20" s="107"/>
    </row>
    <row r="21" spans="1:4">
      <c r="A21" s="4" t="s">
        <v>160</v>
      </c>
      <c r="B21" s="6">
        <f>A10*B10/2+(1-A10)*B8+(1-B10)*B7</f>
        <v>0.95018448941358824</v>
      </c>
      <c r="C21" s="107"/>
    </row>
    <row r="22" spans="1:4">
      <c r="A22" s="7" t="s">
        <v>157</v>
      </c>
      <c r="B22" s="8">
        <f>MAX(B20,C22,D22)</f>
        <v>3.7414222207808074</v>
      </c>
      <c r="C22" s="107">
        <f>B6*(1-B7)*B7/Main!C20/Main!G13*1000/2/SQRT(3)</f>
        <v>3.7414222207808074</v>
      </c>
      <c r="D22">
        <f>B6*(1-B8)*B8/Main!C20/Main!G13*1000/2/SQRT(3)</f>
        <v>2.7283223242340364</v>
      </c>
    </row>
    <row r="23" spans="1:4">
      <c r="A23" s="108" t="s">
        <v>161</v>
      </c>
      <c r="C23" s="107"/>
    </row>
    <row r="24" spans="1:4">
      <c r="A24" s="105" t="s">
        <v>162</v>
      </c>
      <c r="B24" s="6">
        <f>B6*(1-B8)*B8/Main!C20/Main!G13*500</f>
        <v>4.7255928849977584</v>
      </c>
      <c r="C24" s="107"/>
    </row>
    <row r="25" spans="1:4">
      <c r="A25" s="4" t="s">
        <v>163</v>
      </c>
      <c r="B25" s="14">
        <f>1-B8</f>
        <v>4.981551058641176E-2</v>
      </c>
      <c r="C25" s="107"/>
    </row>
    <row r="26" spans="1:4">
      <c r="A26" s="4" t="s">
        <v>178</v>
      </c>
      <c r="B26" s="6">
        <f>SQRT(B25*((Io/B25)^2*B8+B24^2/3))</f>
        <v>2.2670092875128347</v>
      </c>
    </row>
    <row r="27" spans="1:4">
      <c r="A27" s="7" t="s">
        <v>179</v>
      </c>
      <c r="B27" s="180">
        <f>SQRT(B8*Io^2+B25*(B14^2*B8^2+B15/3))</f>
        <v>2.5604288857981463</v>
      </c>
      <c r="C27" s="119"/>
    </row>
    <row r="28" spans="1:4">
      <c r="A28" s="108" t="s">
        <v>164</v>
      </c>
      <c r="B28" s="3"/>
      <c r="C28" s="107"/>
    </row>
    <row r="29" spans="1:4">
      <c r="A29" s="105" t="s">
        <v>167</v>
      </c>
      <c r="B29" s="6">
        <f>Main!G23/Main!G24/1000</f>
        <v>2.5000000000000001E-2</v>
      </c>
      <c r="C29" s="107" t="s">
        <v>321</v>
      </c>
    </row>
    <row r="30" spans="1:4">
      <c r="A30" s="105" t="s">
        <v>168</v>
      </c>
      <c r="B30" s="6">
        <f>Main!G22*Main!G24*10^-6</f>
        <v>1.88E-5</v>
      </c>
      <c r="C30" s="119">
        <f>SQRT(B29^2+1/(2*PI()*B30*fs*1000)^2)</f>
        <v>8.7983645159010707E-2</v>
      </c>
    </row>
    <row r="31" spans="1:4">
      <c r="A31" s="4" t="s">
        <v>165</v>
      </c>
      <c r="B31" s="6">
        <f>Main!G23*(Io*(1+1/B25)+B15)</f>
        <v>1614.9945234215807</v>
      </c>
      <c r="C31" s="107"/>
    </row>
    <row r="32" spans="1:4">
      <c r="A32" s="4" t="s">
        <v>169</v>
      </c>
      <c r="B32" s="6">
        <f>B9*1000/B5/Main!G24/Main!G22*1000</f>
        <v>498.33680351460146</v>
      </c>
      <c r="C32" s="107"/>
    </row>
    <row r="33" spans="1:6">
      <c r="A33" s="4" t="s">
        <v>170</v>
      </c>
      <c r="B33" s="6">
        <f>B31+B32</f>
        <v>2113.331326936182</v>
      </c>
      <c r="C33" s="119">
        <f>2*SQRT(3)*B27*C30*1000</f>
        <v>780.37849314297387</v>
      </c>
    </row>
    <row r="34" spans="1:6">
      <c r="A34" s="4" t="s">
        <v>166</v>
      </c>
      <c r="B34" s="6">
        <f>SQRT((Main!G23)^2+(10^6/(Main!G22*2*PI()*Main!G13))^2)</f>
        <v>351.93458063604282</v>
      </c>
      <c r="C34" s="109"/>
    </row>
    <row r="35" spans="1:6">
      <c r="B35" s="8">
        <f>3*B26*B34/Main!G24</f>
        <v>598.37922217413279</v>
      </c>
      <c r="C35" s="107" t="s">
        <v>171</v>
      </c>
    </row>
    <row r="36" spans="1:6">
      <c r="A36" s="102" t="s">
        <v>25</v>
      </c>
      <c r="B36" s="9"/>
      <c r="C36" s="119" t="s">
        <v>244</v>
      </c>
      <c r="D36" s="119" t="s">
        <v>244</v>
      </c>
      <c r="E36" s="119" t="s">
        <v>244</v>
      </c>
    </row>
    <row r="37" spans="1:6">
      <c r="A37" s="115" t="s">
        <v>177</v>
      </c>
      <c r="B37" s="11">
        <v>1</v>
      </c>
      <c r="C37" s="119">
        <f>B53</f>
        <v>93.723516181961415</v>
      </c>
      <c r="D37" s="119">
        <f>C53</f>
        <v>93.145829341455936</v>
      </c>
      <c r="E37" s="119">
        <f>D53</f>
        <v>93.087522192586263</v>
      </c>
      <c r="F37" s="119">
        <f>E53</f>
        <v>93.081584793749911</v>
      </c>
    </row>
    <row r="38" spans="1:6">
      <c r="A38" s="115" t="s">
        <v>172</v>
      </c>
      <c r="B38" s="110">
        <f>Rds*B13^2*B9*(1+B15^2/3)*0.001*0</f>
        <v>0</v>
      </c>
      <c r="C38" s="119">
        <f>Rds*C13^2*B9*(1+B15^2/3)*0.001*0</f>
        <v>0</v>
      </c>
      <c r="D38" s="119">
        <f>Rds*D13^2*B9*(1+B15^2/3)*0.001*0</f>
        <v>0</v>
      </c>
      <c r="E38">
        <f>Rds*E13^2*B9*(1+B15^2/3)*0.001*0</f>
        <v>0</v>
      </c>
      <c r="F38">
        <f>Rds*F13^2*B9*(1+B15^2/3)*0.001*0</f>
        <v>0</v>
      </c>
    </row>
    <row r="39" spans="1:6">
      <c r="A39" s="116" t="s">
        <v>173</v>
      </c>
      <c r="B39" s="111">
        <f>(Trise+Tfall)*0.5*B6*B13*fs*10^-6*0</f>
        <v>0</v>
      </c>
      <c r="C39" s="181">
        <f>(Trise+Tfall)*0.5*B6*C13*fs*10^-6*0</f>
        <v>0</v>
      </c>
      <c r="D39" s="182">
        <f>(Trise+Tfall)*0.5*B6*D13*fs*10^-6*0</f>
        <v>0</v>
      </c>
      <c r="E39" s="107">
        <f>(Trise+Tfall)*0.5*B6*E13*fs*10^-6*0</f>
        <v>0</v>
      </c>
      <c r="F39">
        <f>(Trise+Tfall)*0.5*B6*F13*fs*10^-6*0</f>
        <v>0</v>
      </c>
    </row>
    <row r="40" spans="1:6">
      <c r="A40" s="116" t="s">
        <v>182</v>
      </c>
      <c r="B40" s="111">
        <f>IF(F9,0.001*Vin_nom, Main!C41/Main!C40*IC!V3*Main!C33*fs/10^6)</f>
        <v>2.8613321710024245E-2</v>
      </c>
      <c r="C40" s="181">
        <f>IF(F9,0.001*Vin_nom, Main!C41/Main!C40*IC!V3*Main!C33*fs/10^6)</f>
        <v>2.8613321710024245E-2</v>
      </c>
      <c r="D40" s="182">
        <f>IF(F9,0.001*Vin_nom, Main!C41/Main!C40*IC!V3*Main!C33*fs/10^6)</f>
        <v>2.8613321710024245E-2</v>
      </c>
      <c r="E40" s="182">
        <f>IF(F9,0.001*Vin_nom, Main!C41/Main!C40*IC!V3*Main!C33*fs/10^6)</f>
        <v>2.8613321710024245E-2</v>
      </c>
      <c r="F40">
        <f>IF(F9,0.001*Vin_nom, Main!C41/Main!C40*IC!V3*Main!C33*fs/10^6)</f>
        <v>2.8613321710024245E-2</v>
      </c>
    </row>
    <row r="41" spans="1:6">
      <c r="A41" s="116" t="s">
        <v>181</v>
      </c>
      <c r="B41" s="112">
        <f>0.003*Main!C11</f>
        <v>3.6000000000000004E-2</v>
      </c>
      <c r="C41" s="181">
        <f>0.003*Main!C11</f>
        <v>3.6000000000000004E-2</v>
      </c>
      <c r="D41" s="182">
        <f>0.003*Main!C11</f>
        <v>3.6000000000000004E-2</v>
      </c>
      <c r="E41">
        <f>0.003*Main!C11</f>
        <v>3.6000000000000004E-2</v>
      </c>
      <c r="F41">
        <f>0.003*Main!C11</f>
        <v>3.6000000000000004E-2</v>
      </c>
    </row>
    <row r="42" spans="1:6">
      <c r="A42" s="120" t="s">
        <v>183</v>
      </c>
      <c r="B42" s="111">
        <f>B38+B39+B40+B41</f>
        <v>6.4613321710024249E-2</v>
      </c>
      <c r="C42" s="183">
        <f>C38+C39+C40+C41</f>
        <v>6.4613321710024249E-2</v>
      </c>
      <c r="D42" s="183">
        <f>D38+D39+D40+D41</f>
        <v>6.4613321710024249E-2</v>
      </c>
      <c r="E42" s="183">
        <f>E38+E39+E40+E41</f>
        <v>6.4613321710024249E-2</v>
      </c>
      <c r="F42" s="183">
        <f>F38+F39+F40+F41</f>
        <v>6.4613321710024249E-2</v>
      </c>
    </row>
    <row r="43" spans="1:6">
      <c r="A43" s="117" t="s">
        <v>174</v>
      </c>
      <c r="B43" s="6">
        <f>Vd*Io</f>
        <v>0.19</v>
      </c>
      <c r="C43" s="181">
        <f>Vd*Io</f>
        <v>0.19</v>
      </c>
      <c r="D43" s="181">
        <f>Vd*Io</f>
        <v>0.19</v>
      </c>
      <c r="E43" s="181">
        <f>Vd*Io</f>
        <v>0.19</v>
      </c>
      <c r="F43" s="181">
        <f>Vd*Io</f>
        <v>0.19</v>
      </c>
    </row>
    <row r="44" spans="1:6">
      <c r="A44" s="118" t="s">
        <v>275</v>
      </c>
      <c r="B44" s="113">
        <f>Rl*0.001*B13^2*(1+(B15/B13)^2/3)*1*1.3</f>
        <v>2.8913282400988436</v>
      </c>
      <c r="C44" s="113">
        <f>Rl*0.001*C13^2*(1+(B15/C13)^2/3)*1*1.3</f>
        <v>3.2389761282567111</v>
      </c>
      <c r="D44" s="113">
        <f>Rl*0.001*D13^2*(1+(B15/D13)^2/3)*1*1.3</f>
        <v>3.2745510988969606</v>
      </c>
      <c r="E44">
        <f>Rl*0.001*E13^2*(1+(B15/E13)^2/3)*1*1.3</f>
        <v>3.2781785994056967</v>
      </c>
      <c r="F44">
        <f>Rl*0.001*F13^2*(1+(B15/F13)^2/3)*1*1.3</f>
        <v>3.2785483691268857</v>
      </c>
    </row>
    <row r="45" spans="1:6">
      <c r="A45" s="115" t="s">
        <v>276</v>
      </c>
      <c r="B45" s="110">
        <f>IF(F9, Main!C41/Main!C40*Main!C33^2*fs/10^6,0)</f>
        <v>0</v>
      </c>
      <c r="C45" s="212">
        <f>IF(F9, Main!C41/Main!C40*Main!C33^2*fs/10^6,0)</f>
        <v>0</v>
      </c>
      <c r="D45" s="110">
        <f>IF(F9, Main!C41/Main!C40*Main!C33^2*fs/10^6,0)</f>
        <v>0</v>
      </c>
      <c r="E45">
        <f>IF(F9, Main!C41/Main!C40*Main!C33^2*fs/10^6,0)</f>
        <v>0</v>
      </c>
      <c r="F45">
        <f>IF(F9, Main!C41/Main!C40*Main!C33^2*fs/10^6,0)</f>
        <v>0</v>
      </c>
    </row>
    <row r="46" spans="1:6">
      <c r="A46" s="115" t="s">
        <v>277</v>
      </c>
      <c r="B46" s="110">
        <f>0.65*B6*((B13+B15)*(Main!C42+0*Main!C43)/(Main!C45-0.1)*(5.5+Main!G42)+C15*(Main!C42+0*Main!C43)/(B55-Main!C45)*(5.5+Main!G41))*fs*10^-6*Main!C46</f>
        <v>2.0475570936619203</v>
      </c>
      <c r="C46" s="212">
        <f>0.65*B6*((C13+B15)*(Main!C42+0*Main!C43)/(Main!C45-0.1)*(5.5+Main!G42)+C14*(Main!C42+0*Main!C43)/(B55-Main!C45)*(5.5+Main!G41))*fs*10^-6*Main!C46</f>
        <v>2.1808836086720622</v>
      </c>
      <c r="D46" s="110">
        <f>0.65*B6*((D13+B15)*(Main!C42+0*Main!C43)/(Main!C45-0.1)*(5.5+Main!G42)+D14*(Main!C42+0*Main!C43)/(B55-Main!C45)*(5.5+Main!G41))*fs*10^-6*Main!C46</f>
        <v>2.1940579579898962</v>
      </c>
      <c r="E46">
        <f>0.65*B6*((E13+B15)*(Main!C42+0*Main!C43)/(Main!C45-0.1)*(5.5+Main!G42)+E14*(Main!C42+0*Main!C43)/(B55-Main!C45)*(5.5+Main!G41))*fs*10^-6*Main!C46</f>
        <v>2.1953967576969662</v>
      </c>
      <c r="F46">
        <f>0.65*B6*((F13+B15)*(Main!C42+0*Main!C43)/(Main!C45-0.1)*(5.5+Main!G42)+F14*(Main!C42+0*Main!C43)/(B55-Main!C45)*(5.5+Main!G41))*fs*10^-6*Main!C46</f>
        <v>2.1954678517127681</v>
      </c>
    </row>
    <row r="47" spans="1:6">
      <c r="A47" s="115" t="s">
        <v>278</v>
      </c>
      <c r="B47" s="110">
        <f>Main!C39*0.001*B13^2*(1+(B15/B13)^2/3)*B9/Main!C46</f>
        <v>0.75165461277244106</v>
      </c>
      <c r="C47" s="212">
        <f>Main!C39*0.001*C13^2*(1+(B15/C13)^2/3)*B9/Main!C46</f>
        <v>0.84203215453004021</v>
      </c>
      <c r="D47" s="110">
        <f>Main!C39*0.001*D13^2*(1+(B15/D13)^2/3)*B9/Main!C46</f>
        <v>0.85128053055671848</v>
      </c>
      <c r="E47">
        <f>Main!C39*0.001*E13^2*(1+(B15/E13)^2/3)*B9/Main!C46</f>
        <v>0.85222356685830836</v>
      </c>
      <c r="F47">
        <f>Main!C39*0.001*F13^2*(1+(B15/F13)^2/3)*B9/Main!C46</f>
        <v>0.85231969538247287</v>
      </c>
    </row>
    <row r="48" spans="1:6">
      <c r="A48" s="115" t="s">
        <v>279</v>
      </c>
      <c r="B48" s="110">
        <f>Main!G34*0.001*B13^2*(1+(B15/B13)^2/3)*B9</f>
        <v>0.75165461277244106</v>
      </c>
      <c r="C48" s="212">
        <f>Main!G34*0.001*C13^2*(1+(B15/C13)^2/3)*B9</f>
        <v>0.84203215453004021</v>
      </c>
      <c r="D48" s="110">
        <f>Main!G34*0.001*D13^2*(1+(B15/D13)^2/3)*B9</f>
        <v>0.85128053055671848</v>
      </c>
      <c r="E48">
        <f>Main!G34*0.001*E13^2*(1+(B15/E13)^2/3)*B9</f>
        <v>0.85222356685830836</v>
      </c>
      <c r="F48">
        <f>Main!G34*0.001*F13^2*(1+(B15/F13)^2/3)*B9</f>
        <v>0.85231969538247287</v>
      </c>
    </row>
    <row r="49" spans="1:6">
      <c r="A49" s="115" t="s">
        <v>280</v>
      </c>
      <c r="B49" s="110"/>
      <c r="C49" s="212"/>
      <c r="D49" s="110"/>
      <c r="F49">
        <f>F46+F47</f>
        <v>3.0477875470952411</v>
      </c>
    </row>
    <row r="50" spans="1:6">
      <c r="A50" s="115"/>
      <c r="B50" s="110"/>
      <c r="C50" s="212"/>
      <c r="D50" s="110"/>
    </row>
    <row r="51" spans="1:6">
      <c r="A51" s="115"/>
      <c r="B51" s="110"/>
      <c r="C51" s="212"/>
      <c r="D51" s="110"/>
    </row>
    <row r="52" spans="1:6">
      <c r="A52" s="103" t="s">
        <v>175</v>
      </c>
      <c r="B52" s="11">
        <f>B42+B43+B44+B45+B46+B47+B48</f>
        <v>6.6968078810156708</v>
      </c>
      <c r="C52" s="11">
        <f>C42+C43+C44+C45+C46+C47+C48</f>
        <v>7.3585373676988777</v>
      </c>
      <c r="D52" s="11">
        <f>D42+D43+D44+D45+D46+D47+D48</f>
        <v>7.4257834397103188</v>
      </c>
      <c r="E52" s="11">
        <f>E42+E43+E44+E45+E46+E47+E48</f>
        <v>7.4326358125293037</v>
      </c>
      <c r="F52" s="11">
        <f>F42+F43+F44+F45+F46+F47+F48</f>
        <v>7.4332689333146238</v>
      </c>
    </row>
    <row r="53" spans="1:6">
      <c r="A53" s="121" t="s">
        <v>176</v>
      </c>
      <c r="B53" s="114">
        <f>(Vout*Io)/(Vout*Io+B52)*100</f>
        <v>93.723516181961415</v>
      </c>
      <c r="C53" s="181">
        <f>(Vout*Io)/(Vout*Io+C52)*100</f>
        <v>93.145829341455936</v>
      </c>
      <c r="D53" s="181">
        <f>(Vout*Io)/(Vout*Io+D52)*100</f>
        <v>93.087522192586263</v>
      </c>
      <c r="E53">
        <f>(Vout*Io)/(Vout*Io+E52)*100</f>
        <v>93.081584793749911</v>
      </c>
      <c r="F53">
        <f>(Vout*Io)/(Vout*Io+F52)*100</f>
        <v>93.081036249647624</v>
      </c>
    </row>
    <row r="54" spans="1:6">
      <c r="A54" s="103"/>
      <c r="B54" s="11"/>
      <c r="C54" s="181"/>
      <c r="D54" s="213"/>
    </row>
    <row r="55" spans="1:6">
      <c r="A55" s="103" t="s">
        <v>281</v>
      </c>
      <c r="B55" s="11">
        <f>IF(F9,INTVcc,IC!V3)</f>
        <v>7.2</v>
      </c>
      <c r="C55" s="181">
        <f>INDEX(IC!W3:W4,PS!B2)</f>
        <v>7.5</v>
      </c>
      <c r="D55" s="213">
        <f>INDEX(IC!X3:X4,PS!B2)</f>
        <v>20</v>
      </c>
      <c r="E55">
        <f>MIN(D55,Main!C10)</f>
        <v>10</v>
      </c>
    </row>
    <row r="56" spans="1:6">
      <c r="A56" s="103" t="s">
        <v>282</v>
      </c>
      <c r="B56" s="11">
        <f>100/B17*0.7</f>
        <v>4.2449200580036583</v>
      </c>
      <c r="C56" s="181"/>
      <c r="D56" s="213"/>
    </row>
    <row r="57" spans="1:6">
      <c r="A57" s="5"/>
      <c r="B57" s="122"/>
      <c r="C57" s="4"/>
      <c r="D57" s="1"/>
    </row>
    <row r="58" spans="1:6">
      <c r="A58" s="5" t="s">
        <v>304</v>
      </c>
      <c r="B58" s="122">
        <f>F42*C58</f>
        <v>2.5845328684009701</v>
      </c>
      <c r="C58" s="4">
        <f>INDEX(IC!Y3:Y4,PS!B2)</f>
        <v>40</v>
      </c>
      <c r="D58" s="1"/>
    </row>
    <row r="59" spans="1:6">
      <c r="A59" s="5"/>
      <c r="B59" s="122"/>
      <c r="C59" s="4"/>
      <c r="D59" s="1"/>
    </row>
    <row r="60" spans="1:6">
      <c r="A60" s="5"/>
      <c r="B60" s="122"/>
      <c r="C60" s="4"/>
      <c r="D60" s="1"/>
    </row>
    <row r="61" spans="1:6">
      <c r="A61" s="5"/>
      <c r="B61" s="122"/>
      <c r="C61" s="4"/>
      <c r="D61" s="1"/>
    </row>
    <row r="62" spans="1:6">
      <c r="A62" s="5"/>
      <c r="B62" s="122"/>
      <c r="C62" s="4"/>
      <c r="D62" s="1"/>
    </row>
    <row r="63" spans="1:6">
      <c r="A63" s="5"/>
      <c r="B63" s="122"/>
      <c r="C63" s="4"/>
      <c r="D63" s="1"/>
    </row>
    <row r="64" spans="1:6">
      <c r="A64" s="5"/>
      <c r="B64" s="122"/>
      <c r="C64" s="4"/>
      <c r="D64" s="1"/>
    </row>
    <row r="65" spans="1:4">
      <c r="A65" s="10" t="s">
        <v>35</v>
      </c>
      <c r="B65" s="9">
        <f>fs</f>
        <v>100.35536514458559</v>
      </c>
      <c r="C65" s="4"/>
      <c r="D65" s="1"/>
    </row>
    <row r="66" spans="1:4">
      <c r="A66" s="4" t="s">
        <v>45</v>
      </c>
      <c r="B66" s="14">
        <f>Main!G34*1</f>
        <v>10</v>
      </c>
      <c r="C66" s="4"/>
      <c r="D66" s="1"/>
    </row>
    <row r="67" spans="1:4">
      <c r="A67" s="4" t="s">
        <v>46</v>
      </c>
      <c r="B67" s="6">
        <f>1-Main!C75/B6</f>
        <v>0.94011378381075961</v>
      </c>
      <c r="C67" s="4"/>
      <c r="D67" s="1"/>
    </row>
    <row r="68" spans="1:4">
      <c r="A68" s="4" t="s">
        <v>47</v>
      </c>
      <c r="B68" s="6">
        <f>8.5*5.4*B67^2*0.001</f>
        <v>4.0567059226854156E-2</v>
      </c>
    </row>
    <row r="69" spans="1:4">
      <c r="A69" s="4" t="s">
        <v>189</v>
      </c>
      <c r="B69" s="6">
        <f>Main!C75/Main!C20*1000*B66*1</f>
        <v>12000</v>
      </c>
    </row>
    <row r="70" spans="1:4">
      <c r="A70" s="4" t="s">
        <v>190</v>
      </c>
      <c r="B70" s="6">
        <f>8.5*5.4*B67*2*B5</f>
        <v>8660.9134163540257</v>
      </c>
    </row>
    <row r="71" spans="1:4">
      <c r="A71" s="7" t="s">
        <v>188</v>
      </c>
      <c r="B71" s="8">
        <f>fs*1000/(B69+B70)</f>
        <v>4.8572569432070649</v>
      </c>
    </row>
    <row r="72" spans="1:4">
      <c r="A72" s="10" t="s">
        <v>62</v>
      </c>
      <c r="B72" s="9">
        <f>IF(B3,B5,Main!G10)</f>
        <v>100.35536514458559</v>
      </c>
    </row>
    <row r="73" spans="1:4">
      <c r="A73" s="4" t="s">
        <v>185</v>
      </c>
      <c r="B73" s="11" t="b">
        <v>0</v>
      </c>
    </row>
    <row r="74" spans="1:4">
      <c r="A74" s="4" t="s">
        <v>184</v>
      </c>
      <c r="B74" s="11">
        <f>C74/Main!C13</f>
        <v>8.0000000000000002E-3</v>
      </c>
      <c r="C74">
        <f>INDEX(IC!M3:M4,PS!B2)</f>
        <v>1.6</v>
      </c>
    </row>
    <row r="75" spans="1:4">
      <c r="A75" s="4" t="s">
        <v>193</v>
      </c>
      <c r="B75" s="11">
        <f>Main!C61*PI()/180-BodI!P17-BodI!P13-PI()/2</f>
        <v>1.1761570606827041</v>
      </c>
    </row>
    <row r="76" spans="1:4">
      <c r="A76" s="4" t="s">
        <v>191</v>
      </c>
      <c r="B76" s="11">
        <f>C76*10^-3</f>
        <v>2.3000000000000001E-4</v>
      </c>
      <c r="C76">
        <f>INDEX(IC!N3:N4,PS!B2)</f>
        <v>0.23</v>
      </c>
    </row>
    <row r="77" spans="1:4">
      <c r="A77" s="4" t="s">
        <v>196</v>
      </c>
      <c r="B77" s="11">
        <f>SQRT(TAN(B75)^2+1)-ABS(TAN(B75))</f>
        <v>0.19992103733338906</v>
      </c>
    </row>
    <row r="78" spans="1:4">
      <c r="A78" s="4" t="s">
        <v>194</v>
      </c>
      <c r="B78" s="11">
        <f>1+(fc/fthp)^2</f>
        <v>1.0399684211684583</v>
      </c>
    </row>
    <row r="79" spans="1:4">
      <c r="A79" s="4" t="s">
        <v>195</v>
      </c>
      <c r="B79" s="11">
        <f>1+(fc/fthz)^2</f>
        <v>26.019752363627621</v>
      </c>
    </row>
    <row r="80" spans="1:4">
      <c r="A80" s="4" t="s">
        <v>84</v>
      </c>
      <c r="B80" s="6">
        <f>(B81*1000*B76*(BodI!P11*BodI!P16))^2</f>
        <v>1488.9381917035314</v>
      </c>
    </row>
    <row r="81" spans="1:2">
      <c r="A81" s="4" t="s">
        <v>197</v>
      </c>
      <c r="B81" s="14">
        <f>INDEX(IC!O3:O4,PS!B2)</f>
        <v>3000</v>
      </c>
    </row>
    <row r="82" spans="1:2">
      <c r="A82" s="127" t="s">
        <v>109</v>
      </c>
      <c r="B82" s="128">
        <f>1-B8</f>
        <v>4.981551058641176E-2</v>
      </c>
    </row>
    <row r="84" spans="1:2">
      <c r="A84" s="4" t="s">
        <v>243</v>
      </c>
      <c r="B84" s="6">
        <f>B72/2</f>
        <v>50.177682572292795</v>
      </c>
    </row>
    <row r="85" spans="1:2">
      <c r="B85" s="6">
        <f>B84</f>
        <v>50.177682572292795</v>
      </c>
    </row>
  </sheetData>
  <phoneticPr fontId="2" type="noConversion"/>
  <pageMargins left="0.75" right="0.75" top="1" bottom="1" header="0.5" footer="0.5"/>
  <pageSetup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65DD8-EC42-4065-9055-31F158757671}">
  <sheetPr codeName="Sheet6"/>
  <dimension ref="A1:AB200"/>
  <sheetViews>
    <sheetView topLeftCell="R18" workbookViewId="0">
      <pane xSplit="13008" activePane="topRight"/>
      <selection activeCell="U2" sqref="U2:V200"/>
      <selection pane="topRight" activeCell="C43" sqref="C43"/>
    </sheetView>
  </sheetViews>
  <sheetFormatPr defaultRowHeight="13.2"/>
  <cols>
    <col min="2" max="2" width="7.109375" customWidth="1"/>
    <col min="3" max="3" width="16" customWidth="1"/>
    <col min="4" max="4" width="9.6640625" customWidth="1"/>
    <col min="6" max="6" width="8.6640625" customWidth="1"/>
    <col min="7" max="7" width="6.44140625" customWidth="1"/>
    <col min="13" max="13" width="8.88671875" style="268" customWidth="1"/>
    <col min="16" max="16" width="14" customWidth="1"/>
    <col min="19" max="19" width="13" customWidth="1"/>
    <col min="25" max="25" width="15.6640625" customWidth="1"/>
  </cols>
  <sheetData>
    <row r="1" spans="1:28">
      <c r="A1" t="s">
        <v>34</v>
      </c>
      <c r="B1" t="s">
        <v>54</v>
      </c>
      <c r="C1">
        <f>(LOG(Main!G13)+2)/180</f>
        <v>2.2230781085901659E-2</v>
      </c>
      <c r="E1" t="s">
        <v>41</v>
      </c>
      <c r="F1" t="s">
        <v>42</v>
      </c>
      <c r="G1" t="s">
        <v>43</v>
      </c>
      <c r="H1" t="s">
        <v>110</v>
      </c>
      <c r="I1" t="s">
        <v>51</v>
      </c>
      <c r="J1" s="107" t="s">
        <v>111</v>
      </c>
      <c r="K1" t="s">
        <v>112</v>
      </c>
      <c r="L1" s="107" t="s">
        <v>113</v>
      </c>
      <c r="M1" s="268" t="s">
        <v>114</v>
      </c>
      <c r="N1" t="s">
        <v>91</v>
      </c>
      <c r="O1" t="s">
        <v>60</v>
      </c>
      <c r="Q1" t="s">
        <v>78</v>
      </c>
      <c r="R1" t="s">
        <v>79</v>
      </c>
      <c r="S1" t="s">
        <v>92</v>
      </c>
      <c r="T1" t="s">
        <v>90</v>
      </c>
      <c r="U1" t="s">
        <v>89</v>
      </c>
      <c r="Y1" t="s">
        <v>192</v>
      </c>
      <c r="Z1" t="s">
        <v>218</v>
      </c>
    </row>
    <row r="2" spans="1:28">
      <c r="A2">
        <v>100</v>
      </c>
      <c r="B2" s="270">
        <f>A2/1000</f>
        <v>0.1</v>
      </c>
      <c r="C2" t="s">
        <v>102</v>
      </c>
      <c r="D2">
        <f>B2*$C$9*1000</f>
        <v>2.9530970943744054E-4</v>
      </c>
      <c r="E2">
        <f>B2*1000*$C$18/(1+D2^2)</f>
        <v>1.1812387347365021E-2</v>
      </c>
      <c r="F2">
        <f>D2*E2+$C$24</f>
        <v>2.5034883126753131E-3</v>
      </c>
      <c r="G2">
        <f>E2</f>
        <v>1.1812387347365021E-2</v>
      </c>
      <c r="H2">
        <f>($C$40+($C$34*B2*1000)^2)</f>
        <v>144.00770450599654</v>
      </c>
      <c r="I2">
        <f>ATAN2($C$41,-(B2*1000))</f>
        <v>-7.3144791698303707E-3</v>
      </c>
      <c r="J2">
        <f>$C$48+$C$38*(B2*1000)/TAN($C$50*(B2*1000))</f>
        <v>9.7543396689547208</v>
      </c>
      <c r="K2">
        <f>$C$51*B2*1000</f>
        <v>-2.4185570998049209E-2</v>
      </c>
      <c r="L2" s="107">
        <f>F2*J2-G2*K2+$C$44</f>
        <v>6.7886388729167815E-2</v>
      </c>
      <c r="M2" s="269">
        <f t="shared" ref="M2:M33" si="0">J2*G2+K2*F2+($C$55+$C$65)*B2*1000</f>
        <v>0.11504189872994701</v>
      </c>
      <c r="N2" s="107">
        <f>H2/(L2^2+M2^2)</f>
        <v>8070.7329730386909</v>
      </c>
      <c r="O2">
        <f>I2-ATAN2(L2,M2)</f>
        <v>-1.045001461328344</v>
      </c>
      <c r="P2" t="s">
        <v>77</v>
      </c>
      <c r="Q2">
        <f t="shared" ref="Q2:Q33" si="1">$P$4+10*LOG((1+($P$6*B2)^2)/(1+($P$8*B2)^2))</f>
        <v>-23.493182485288049</v>
      </c>
      <c r="R2">
        <f>DEGREES(ATAN(B2*$P$6)-ATAN(B2*$P$8))</f>
        <v>0</v>
      </c>
      <c r="S2">
        <f t="shared" ref="S2:S33" si="2">((1+($P$24*B2*1000)^2)/((1-$P$28*B2*1000*$P$24*B2*1000)^2+$P$31*(B2*1000)^2))/(1+(B2/fea)^2)</f>
        <v>0.52563926172171116</v>
      </c>
      <c r="T2">
        <f t="shared" ref="T2:T33" si="3">ATAN(B2*1000*$P$24)-ATAN2(1-$P$24*B2*1000*$P$28*B2*1000,B2*1000*$P$30)-ATAN(B2/fea)</f>
        <v>-0.73691126869840462</v>
      </c>
      <c r="U2">
        <f>10*LOG(N2*S2)+Q2+$P$21</f>
        <v>68.639753439941742</v>
      </c>
      <c r="V2">
        <f>DEGREES(T2+O2)+R2+180</f>
        <v>77.903921108832833</v>
      </c>
      <c r="W2">
        <f>-U2</f>
        <v>-68.639753439941742</v>
      </c>
      <c r="Y2">
        <f>10*LOG(N2)+20*LOG($C$29)</f>
        <v>38.149076144049047</v>
      </c>
      <c r="Z2">
        <f t="shared" ref="Z2:Z33" si="4">DEGREES(O2)</f>
        <v>-59.874173319117624</v>
      </c>
      <c r="AA2">
        <f>10*LOG(S2)+Q2+$P$37</f>
        <v>30.490677295892684</v>
      </c>
      <c r="AB2">
        <f>DEGREES(T2+R2)+180</f>
        <v>137.77809442795044</v>
      </c>
    </row>
    <row r="3" spans="1:28">
      <c r="A3">
        <v>104.83347935810021</v>
      </c>
      <c r="B3" s="270">
        <f t="shared" ref="B3:B66" si="5">A3/1000</f>
        <v>0.10483347935810021</v>
      </c>
      <c r="C3">
        <f>0.002*PI()</f>
        <v>6.2831853071795866E-3</v>
      </c>
      <c r="D3">
        <f t="shared" ref="D3:D16" si="6">B3*$C$9*1000</f>
        <v>3.0958344328556493E-4</v>
      </c>
      <c r="E3">
        <f t="shared" ref="E3:E66" si="7">B3*1000*$C$18/(1+D3^2)</f>
        <v>1.2383336544579992E-2</v>
      </c>
      <c r="F3">
        <f t="shared" ref="F3:F66" si="8">D3*E3+$C$24</f>
        <v>2.503833675966835E-3</v>
      </c>
      <c r="G3">
        <f t="shared" ref="G3:G28" si="9">E3</f>
        <v>1.2383336544579992E-2</v>
      </c>
      <c r="H3">
        <f t="shared" ref="H3:H66" si="10">($C$40+($C$34*B3*1000)^2)</f>
        <v>144.00846729708016</v>
      </c>
      <c r="I3">
        <f t="shared" ref="I3:I66" si="11">ATAN2($C$41,-(B3*1000))</f>
        <v>-7.6680094717451203E-3</v>
      </c>
      <c r="J3">
        <f t="shared" ref="J3:J66" si="12">$C$48+$C$38*(B3*1000)/TAN($C$50*(B3*1000))</f>
        <v>9.7543365211762865</v>
      </c>
      <c r="K3">
        <f t="shared" ref="K3:K66" si="13">$C$51*B3*1000</f>
        <v>-2.5354575579878587E-2</v>
      </c>
      <c r="L3">
        <f t="shared" ref="L3:L66" si="14">F3*J3-G3*K3+$C$44</f>
        <v>6.7918034548013331E-2</v>
      </c>
      <c r="M3" s="268">
        <f t="shared" si="0"/>
        <v>0.12060237637876427</v>
      </c>
      <c r="N3">
        <f t="shared" ref="N3:N66" si="15">H3/(L3^2+M3^2)</f>
        <v>7516.9655641311856</v>
      </c>
      <c r="O3">
        <f t="shared" ref="O3:O66" si="16">I3-ATAN2(L3,M3)</f>
        <v>-1.0655761687701757</v>
      </c>
      <c r="P3" s="107">
        <f>Main!C63/(Main!C63+Main!C67)</f>
        <v>6.6886870355078454E-2</v>
      </c>
      <c r="Q3">
        <f t="shared" si="1"/>
        <v>-23.493182485288049</v>
      </c>
      <c r="R3">
        <f t="shared" ref="R3:R66" si="17">DEGREES(ATAN(B3*$P$6)-ATAN(B3*$P$8))</f>
        <v>0</v>
      </c>
      <c r="S3">
        <f t="shared" si="2"/>
        <v>0.50207473815873827</v>
      </c>
      <c r="T3">
        <f t="shared" si="3"/>
        <v>-0.75938373025215666</v>
      </c>
      <c r="U3">
        <f t="shared" ref="U3:U66" si="18">10*LOG(N3*S3)+Q3+$P$21</f>
        <v>68.131854999505492</v>
      </c>
      <c r="V3">
        <f t="shared" ref="V3:V66" si="19">DEGREES(T3+O3)+R3+180</f>
        <v>75.437500005399471</v>
      </c>
      <c r="W3">
        <f t="shared" ref="W3:W66" si="20">-U3</f>
        <v>-68.131854999505492</v>
      </c>
      <c r="Y3">
        <f t="shared" ref="Y3:Y66" si="21">10*LOG(N3)+20*LOG($C$29)</f>
        <v>37.840371965650959</v>
      </c>
      <c r="Z3">
        <f t="shared" si="4"/>
        <v>-61.053017220250986</v>
      </c>
      <c r="AA3">
        <f t="shared" ref="AA3:AA66" si="22">10*LOG(S3)+Q3+$P$37</f>
        <v>30.291483033854533</v>
      </c>
      <c r="AB3">
        <f t="shared" ref="AB3:AB66" si="23">DEGREES(T3+R3)+180</f>
        <v>136.49051722565045</v>
      </c>
    </row>
    <row r="4" spans="1:28">
      <c r="A4">
        <v>109.90058394325209</v>
      </c>
      <c r="B4" s="270">
        <f t="shared" si="5"/>
        <v>0.10990058394325208</v>
      </c>
      <c r="C4" t="s">
        <v>36</v>
      </c>
      <c r="D4">
        <f>B4*$C$9*1000</f>
        <v>3.2454709511286816E-4</v>
      </c>
      <c r="E4">
        <f t="shared" si="7"/>
        <v>1.2981882437122446E-2</v>
      </c>
      <c r="F4">
        <f t="shared" si="8"/>
        <v>2.5042132322340648E-3</v>
      </c>
      <c r="G4">
        <f t="shared" si="9"/>
        <v>1.2981882437122446E-2</v>
      </c>
      <c r="H4">
        <f t="shared" si="10"/>
        <v>144.00930560893531</v>
      </c>
      <c r="I4">
        <f t="shared" si="11"/>
        <v>-8.0386255283103301E-3</v>
      </c>
      <c r="J4">
        <f t="shared" si="12"/>
        <v>9.7543330617489357</v>
      </c>
      <c r="K4">
        <f t="shared" si="13"/>
        <v>-2.6580083756865901E-2</v>
      </c>
      <c r="L4">
        <f t="shared" si="14"/>
        <v>6.7952813484578739E-2</v>
      </c>
      <c r="M4" s="268">
        <f t="shared" si="0"/>
        <v>0.12643161114631643</v>
      </c>
      <c r="N4">
        <f t="shared" si="15"/>
        <v>6989.8820959703135</v>
      </c>
      <c r="O4">
        <f t="shared" si="16"/>
        <v>-1.0856649311761566</v>
      </c>
      <c r="P4">
        <f>20*LOG(P3*1)</f>
        <v>-23.493182485288049</v>
      </c>
      <c r="Q4">
        <f t="shared" si="1"/>
        <v>-23.493182485288049</v>
      </c>
      <c r="R4">
        <f t="shared" si="17"/>
        <v>0</v>
      </c>
      <c r="S4">
        <f t="shared" si="2"/>
        <v>0.4785024239545535</v>
      </c>
      <c r="T4">
        <f t="shared" si="3"/>
        <v>-0.78180611940699063</v>
      </c>
      <c r="U4">
        <f t="shared" si="18"/>
        <v>67.607285611380789</v>
      </c>
      <c r="V4">
        <f t="shared" si="19"/>
        <v>73.001790438723802</v>
      </c>
      <c r="W4">
        <f t="shared" si="20"/>
        <v>-67.607285611380789</v>
      </c>
      <c r="Y4">
        <f t="shared" si="21"/>
        <v>37.524644860640024</v>
      </c>
      <c r="Z4">
        <f t="shared" si="4"/>
        <v>-62.204018521754762</v>
      </c>
      <c r="AA4">
        <f t="shared" si="22"/>
        <v>30.082640750740762</v>
      </c>
      <c r="AB4">
        <f t="shared" si="23"/>
        <v>135.20580896047855</v>
      </c>
    </row>
    <row r="5" spans="1:28">
      <c r="A5">
        <v>115.21260598258083</v>
      </c>
      <c r="B5" s="270">
        <f t="shared" si="5"/>
        <v>0.11521260598258083</v>
      </c>
      <c r="D5">
        <f t="shared" si="6"/>
        <v>3.4023401196246267E-4</v>
      </c>
      <c r="E5">
        <f t="shared" si="7"/>
        <v>1.3609358903090243E-2</v>
      </c>
      <c r="F5">
        <f t="shared" si="8"/>
        <v>2.5046303667798355E-3</v>
      </c>
      <c r="G5">
        <f t="shared" si="9"/>
        <v>1.3609358903090243E-2</v>
      </c>
      <c r="H5">
        <f t="shared" si="10"/>
        <v>144.01022691855937</v>
      </c>
      <c r="I5">
        <f t="shared" si="11"/>
        <v>-8.4271528626716826E-3</v>
      </c>
      <c r="J5">
        <f t="shared" si="12"/>
        <v>9.75432925981751</v>
      </c>
      <c r="K5">
        <f t="shared" si="13"/>
        <v>-2.7864826618619779E-2</v>
      </c>
      <c r="L5">
        <f t="shared" si="14"/>
        <v>6.799103573516152E-2</v>
      </c>
      <c r="M5" s="268">
        <f t="shared" si="0"/>
        <v>0.13254259222358841</v>
      </c>
      <c r="N5">
        <f t="shared" si="15"/>
        <v>6489.7770246870268</v>
      </c>
      <c r="O5">
        <f t="shared" si="16"/>
        <v>-1.1052498347817135</v>
      </c>
      <c r="P5" t="s">
        <v>80</v>
      </c>
      <c r="Q5">
        <f t="shared" si="1"/>
        <v>-23.493182485288049</v>
      </c>
      <c r="R5">
        <f t="shared" si="17"/>
        <v>0</v>
      </c>
      <c r="S5">
        <f t="shared" si="2"/>
        <v>0.45502702242102167</v>
      </c>
      <c r="T5">
        <f t="shared" si="3"/>
        <v>-0.8041233777506277</v>
      </c>
      <c r="U5">
        <f t="shared" si="18"/>
        <v>67.06641533010287</v>
      </c>
      <c r="V5">
        <f t="shared" si="19"/>
        <v>70.600973406561309</v>
      </c>
      <c r="W5">
        <f t="shared" si="20"/>
        <v>-67.06641533010287</v>
      </c>
      <c r="Y5">
        <f t="shared" si="21"/>
        <v>37.20224411451732</v>
      </c>
      <c r="Z5">
        <f t="shared" si="4"/>
        <v>-63.326150840523724</v>
      </c>
      <c r="AA5">
        <f t="shared" si="22"/>
        <v>29.86417121558555</v>
      </c>
      <c r="AB5">
        <f t="shared" si="23"/>
        <v>133.92712424708503</v>
      </c>
    </row>
    <row r="6" spans="1:28">
      <c r="A6">
        <v>120.78138351067804</v>
      </c>
      <c r="B6" s="270">
        <f t="shared" si="5"/>
        <v>0.12078138351067803</v>
      </c>
      <c r="C6" t="s">
        <v>103</v>
      </c>
      <c r="D6">
        <f t="shared" si="6"/>
        <v>3.5667915269990404E-4</v>
      </c>
      <c r="E6">
        <f t="shared" si="7"/>
        <v>1.4267164292927265E-2</v>
      </c>
      <c r="F6">
        <f t="shared" si="8"/>
        <v>2.5050888000714318E-3</v>
      </c>
      <c r="G6">
        <f t="shared" si="9"/>
        <v>1.4267164292927265E-2</v>
      </c>
      <c r="H6">
        <f t="shared" si="10"/>
        <v>144.01123944321614</v>
      </c>
      <c r="I6">
        <f t="shared" si="11"/>
        <v>-8.8344568518152044E-3</v>
      </c>
      <c r="J6">
        <f t="shared" si="12"/>
        <v>9.7543250814719862</v>
      </c>
      <c r="K6">
        <f t="shared" si="13"/>
        <v>-2.9211667261401137E-2</v>
      </c>
      <c r="L6">
        <f t="shared" si="14"/>
        <v>6.8033042207168409E-2</v>
      </c>
      <c r="M6" s="268">
        <f t="shared" si="0"/>
        <v>0.13894893645969797</v>
      </c>
      <c r="N6">
        <f t="shared" si="15"/>
        <v>6016.6878527584731</v>
      </c>
      <c r="O6">
        <f t="shared" si="16"/>
        <v>-1.1243165880097548</v>
      </c>
      <c r="P6">
        <f>Main!C67*Main!C69*PI()*0.000002</f>
        <v>0</v>
      </c>
      <c r="Q6">
        <f t="shared" si="1"/>
        <v>-23.493182485288049</v>
      </c>
      <c r="R6">
        <f t="shared" si="17"/>
        <v>0</v>
      </c>
      <c r="S6">
        <f t="shared" si="2"/>
        <v>0.43175152258906185</v>
      </c>
      <c r="T6">
        <f t="shared" si="3"/>
        <v>-0.82628086087888686</v>
      </c>
      <c r="U6">
        <f t="shared" si="18"/>
        <v>66.50965927371665</v>
      </c>
      <c r="V6">
        <f t="shared" si="19"/>
        <v>68.238998649695532</v>
      </c>
      <c r="W6">
        <f t="shared" si="20"/>
        <v>-66.50965927371665</v>
      </c>
      <c r="Y6">
        <f t="shared" si="21"/>
        <v>36.873521166268524</v>
      </c>
      <c r="Z6">
        <f t="shared" si="4"/>
        <v>-64.418595329507923</v>
      </c>
      <c r="AA6">
        <f t="shared" si="22"/>
        <v>29.636138107448126</v>
      </c>
      <c r="AB6">
        <f t="shared" si="23"/>
        <v>132.65759397920345</v>
      </c>
    </row>
    <row r="7" spans="1:28">
      <c r="A7">
        <v>126.61932675109446</v>
      </c>
      <c r="B7" s="270">
        <f t="shared" si="5"/>
        <v>0.12661932675109447</v>
      </c>
      <c r="D7">
        <f t="shared" si="6"/>
        <v>3.7391916592030051E-4</v>
      </c>
      <c r="E7">
        <f t="shared" si="7"/>
        <v>1.495676454562387E-2</v>
      </c>
      <c r="F7">
        <f t="shared" si="8"/>
        <v>2.505592620923766E-3</v>
      </c>
      <c r="G7">
        <f t="shared" si="9"/>
        <v>1.495676454562387E-2</v>
      </c>
      <c r="H7">
        <f t="shared" si="10"/>
        <v>144.0123522137265</v>
      </c>
      <c r="I7">
        <f t="shared" si="11"/>
        <v>-9.2614446456475777E-3</v>
      </c>
      <c r="J7">
        <f t="shared" si="12"/>
        <v>9.7543204894450302</v>
      </c>
      <c r="K7">
        <f t="shared" si="13"/>
        <v>-3.0623607168637865E-2</v>
      </c>
      <c r="L7">
        <f t="shared" si="14"/>
        <v>6.8079207559666302E-2</v>
      </c>
      <c r="M7" s="268">
        <f t="shared" si="0"/>
        <v>0.1456649186734989</v>
      </c>
      <c r="N7">
        <f t="shared" si="15"/>
        <v>5570.4208491836198</v>
      </c>
      <c r="O7">
        <f t="shared" si="16"/>
        <v>-1.1428543703188254</v>
      </c>
      <c r="P7" t="s">
        <v>81</v>
      </c>
      <c r="Q7">
        <f t="shared" si="1"/>
        <v>-23.493182485288049</v>
      </c>
      <c r="R7">
        <f t="shared" si="17"/>
        <v>0</v>
      </c>
      <c r="S7">
        <f t="shared" si="2"/>
        <v>0.40877541077871454</v>
      </c>
      <c r="T7">
        <f t="shared" si="3"/>
        <v>-0.84822489934045453</v>
      </c>
      <c r="U7">
        <f t="shared" si="18"/>
        <v>65.937473400979883</v>
      </c>
      <c r="V7">
        <f t="shared" si="19"/>
        <v>65.919561172532923</v>
      </c>
      <c r="W7">
        <f t="shared" si="20"/>
        <v>-65.937473400979883</v>
      </c>
      <c r="Y7">
        <f t="shared" si="21"/>
        <v>36.538826435195112</v>
      </c>
      <c r="Z7">
        <f t="shared" si="4"/>
        <v>-65.480732017349951</v>
      </c>
      <c r="AA7">
        <f t="shared" si="22"/>
        <v>29.398646965784774</v>
      </c>
      <c r="AB7">
        <f t="shared" si="23"/>
        <v>131.40029318988286</v>
      </c>
    </row>
    <row r="8" spans="1:28">
      <c r="A8">
        <v>132.73944577297414</v>
      </c>
      <c r="B8" s="270">
        <f t="shared" si="5"/>
        <v>0.13273944577297414</v>
      </c>
      <c r="C8" t="s">
        <v>37</v>
      </c>
      <c r="D8">
        <f t="shared" si="6"/>
        <v>3.919924716210389E-4</v>
      </c>
      <c r="E8">
        <f t="shared" si="7"/>
        <v>1.5679696455529225E-2</v>
      </c>
      <c r="F8">
        <f t="shared" si="8"/>
        <v>2.5061463229678707E-3</v>
      </c>
      <c r="G8">
        <f t="shared" si="9"/>
        <v>1.5679696455529225E-2</v>
      </c>
      <c r="H8">
        <f t="shared" si="10"/>
        <v>144.01357515501536</v>
      </c>
      <c r="I8">
        <f t="shared" si="11"/>
        <v>-9.7090671777327574E-3</v>
      </c>
      <c r="J8">
        <f t="shared" si="12"/>
        <v>9.7543154427795873</v>
      </c>
      <c r="K8">
        <f t="shared" si="13"/>
        <v>-3.2103792899839695E-2</v>
      </c>
      <c r="L8">
        <f t="shared" si="14"/>
        <v>6.8129943544959784E-2</v>
      </c>
      <c r="M8" s="268">
        <f t="shared" si="0"/>
        <v>0.15270550342631167</v>
      </c>
      <c r="N8">
        <f t="shared" si="15"/>
        <v>5150.5785355850931</v>
      </c>
      <c r="O8">
        <f t="shared" si="16"/>
        <v>-1.1608556467222106</v>
      </c>
      <c r="P8">
        <f>P3*Main!C67*(Main!C69+Main!C71)*PI()*0.000002*2</f>
        <v>0</v>
      </c>
      <c r="Q8">
        <f t="shared" si="1"/>
        <v>-23.493182485288049</v>
      </c>
      <c r="R8">
        <f t="shared" si="17"/>
        <v>0</v>
      </c>
      <c r="S8">
        <f t="shared" si="2"/>
        <v>0.38619301137504747</v>
      </c>
      <c r="T8">
        <f t="shared" si="3"/>
        <v>-0.86990332998627662</v>
      </c>
      <c r="U8">
        <f t="shared" si="18"/>
        <v>65.350349928797854</v>
      </c>
      <c r="V8">
        <f t="shared" si="19"/>
        <v>63.64608142629784</v>
      </c>
      <c r="W8">
        <f t="shared" si="20"/>
        <v>-65.350349928797854</v>
      </c>
      <c r="Y8">
        <f t="shared" si="21"/>
        <v>36.19850649498251</v>
      </c>
      <c r="Z8">
        <f t="shared" si="4"/>
        <v>-66.512129181112371</v>
      </c>
      <c r="AA8">
        <f t="shared" si="22"/>
        <v>29.15184343381534</v>
      </c>
      <c r="AB8">
        <f t="shared" si="23"/>
        <v>130.15821060741018</v>
      </c>
    </row>
    <row r="9" spans="1:28">
      <c r="A9">
        <v>139.15537948446729</v>
      </c>
      <c r="B9" s="270">
        <f t="shared" si="5"/>
        <v>0.1391553794844673</v>
      </c>
      <c r="C9">
        <f>Main!G22*C3*Main!G23*10^-6</f>
        <v>2.9530970943744055E-6</v>
      </c>
      <c r="D9">
        <f t="shared" si="6"/>
        <v>4.1093934682214813E-4</v>
      </c>
      <c r="E9">
        <f t="shared" si="7"/>
        <v>1.6437571097054446E-2</v>
      </c>
      <c r="F9">
        <f t="shared" si="8"/>
        <v>2.506754844729966E-3</v>
      </c>
      <c r="G9">
        <f t="shared" si="9"/>
        <v>1.6437571097054446E-2</v>
      </c>
      <c r="H9">
        <f t="shared" si="10"/>
        <v>144.01491917463309</v>
      </c>
      <c r="I9">
        <f t="shared" si="11"/>
        <v>-1.0178321271947715E-2</v>
      </c>
      <c r="J9">
        <f t="shared" si="12"/>
        <v>9.7543098964635924</v>
      </c>
      <c r="K9">
        <f t="shared" si="13"/>
        <v>-3.3655523102820641E-2</v>
      </c>
      <c r="L9">
        <f t="shared" si="14"/>
        <v>6.8185702680997079E-2</v>
      </c>
      <c r="M9" s="268">
        <f t="shared" si="0"/>
        <v>0.16008637832580544</v>
      </c>
      <c r="N9">
        <f t="shared" si="15"/>
        <v>4756.5878833871384</v>
      </c>
      <c r="O9">
        <f t="shared" si="16"/>
        <v>-1.1783159561775172</v>
      </c>
      <c r="Q9">
        <f t="shared" si="1"/>
        <v>-23.493182485288049</v>
      </c>
      <c r="R9">
        <f t="shared" si="17"/>
        <v>0</v>
      </c>
      <c r="S9">
        <f t="shared" si="2"/>
        <v>0.36409201387768741</v>
      </c>
      <c r="T9">
        <f t="shared" si="3"/>
        <v>-0.89126598425109027</v>
      </c>
      <c r="U9">
        <f t="shared" si="18"/>
        <v>64.748812471140383</v>
      </c>
      <c r="V9">
        <f t="shared" si="19"/>
        <v>61.421689456945444</v>
      </c>
      <c r="W9">
        <f t="shared" si="20"/>
        <v>-64.748812471140383</v>
      </c>
      <c r="Y9">
        <f t="shared" si="21"/>
        <v>35.852901610978584</v>
      </c>
      <c r="Z9">
        <f t="shared" si="4"/>
        <v>-67.512531221893795</v>
      </c>
      <c r="AA9">
        <f t="shared" si="22"/>
        <v>28.895910860161788</v>
      </c>
      <c r="AB9">
        <f t="shared" si="23"/>
        <v>128.93422067883924</v>
      </c>
    </row>
    <row r="10" spans="1:28">
      <c r="A10">
        <v>145.88142602753496</v>
      </c>
      <c r="B10" s="270">
        <f t="shared" si="5"/>
        <v>0.14588142602753496</v>
      </c>
      <c r="C10" t="s">
        <v>107</v>
      </c>
      <c r="D10">
        <f t="shared" si="6"/>
        <v>4.3080201532510825E-4</v>
      </c>
      <c r="E10">
        <f t="shared" si="7"/>
        <v>1.7232077414896598E-2</v>
      </c>
      <c r="F10">
        <f t="shared" si="8"/>
        <v>2.5074236136785758E-3</v>
      </c>
      <c r="G10">
        <f t="shared" si="9"/>
        <v>1.7232077414896598E-2</v>
      </c>
      <c r="H10">
        <f t="shared" si="10"/>
        <v>144.01639626004126</v>
      </c>
      <c r="I10">
        <f t="shared" si="11"/>
        <v>-1.0670251849500762E-2</v>
      </c>
      <c r="J10">
        <f t="shared" si="12"/>
        <v>9.7543038010284668</v>
      </c>
      <c r="K10">
        <f t="shared" si="13"/>
        <v>-3.5282255864856102E-2</v>
      </c>
      <c r="L10">
        <f t="shared" si="14"/>
        <v>6.8246982287357191E-2</v>
      </c>
      <c r="M10" s="268">
        <f t="shared" si="0"/>
        <v>0.1678239889343412</v>
      </c>
      <c r="N10">
        <f t="shared" si="15"/>
        <v>4387.7283150194326</v>
      </c>
      <c r="O10">
        <f t="shared" si="16"/>
        <v>-1.1952336816001286</v>
      </c>
      <c r="P10" t="s">
        <v>83</v>
      </c>
      <c r="Q10">
        <f t="shared" si="1"/>
        <v>-23.493182485288049</v>
      </c>
      <c r="R10">
        <f t="shared" si="17"/>
        <v>0</v>
      </c>
      <c r="S10">
        <f t="shared" si="2"/>
        <v>0.3425522319526243</v>
      </c>
      <c r="T10">
        <f t="shared" si="3"/>
        <v>-0.91226512193973142</v>
      </c>
      <c r="U10">
        <f t="shared" si="18"/>
        <v>64.133410989122282</v>
      </c>
      <c r="V10">
        <f t="shared" si="19"/>
        <v>59.249213228295375</v>
      </c>
      <c r="W10">
        <f t="shared" si="20"/>
        <v>-64.133410989122282</v>
      </c>
      <c r="Y10">
        <f t="shared" si="21"/>
        <v>35.502343643883037</v>
      </c>
      <c r="Z10">
        <f t="shared" si="4"/>
        <v>-68.48184548757061</v>
      </c>
      <c r="AA10">
        <f t="shared" si="22"/>
        <v>28.631067345239241</v>
      </c>
      <c r="AB10">
        <f t="shared" si="23"/>
        <v>127.731058715866</v>
      </c>
    </row>
    <row r="11" spans="1:28">
      <c r="A11">
        <v>152.93257464187789</v>
      </c>
      <c r="B11" s="270">
        <f t="shared" si="5"/>
        <v>0.1529325746418779</v>
      </c>
      <c r="D11">
        <f t="shared" si="6"/>
        <v>4.5162474181012653E-4</v>
      </c>
      <c r="E11">
        <f t="shared" si="7"/>
        <v>1.8064985987781869E-2</v>
      </c>
      <c r="F11">
        <f t="shared" si="8"/>
        <v>2.5081585946325354E-3</v>
      </c>
      <c r="G11">
        <f t="shared" si="9"/>
        <v>1.8064985987781869E-2</v>
      </c>
      <c r="H11">
        <f t="shared" si="10"/>
        <v>144.0180195855302</v>
      </c>
      <c r="I11">
        <f t="shared" si="11"/>
        <v>-1.1185954240940819E-2</v>
      </c>
      <c r="J11">
        <f t="shared" si="12"/>
        <v>9.754297102107909</v>
      </c>
      <c r="K11">
        <f t="shared" si="13"/>
        <v>-3.6987616419155975E-2</v>
      </c>
      <c r="L11">
        <f t="shared" si="14"/>
        <v>6.8314328920813031E-2</v>
      </c>
      <c r="M11" s="268">
        <f t="shared" si="0"/>
        <v>0.17593557535852261</v>
      </c>
      <c r="N11">
        <f t="shared" si="15"/>
        <v>4043.1587651933264</v>
      </c>
      <c r="O11">
        <f t="shared" si="16"/>
        <v>-1.211609808593777</v>
      </c>
      <c r="P11">
        <f>P3*SQRT((1+(P6*Main!C60)^2)/(1+(Main!C60*P8)^2))</f>
        <v>6.6886870355078454E-2</v>
      </c>
      <c r="Q11">
        <f t="shared" si="1"/>
        <v>-23.493182485288049</v>
      </c>
      <c r="R11">
        <f t="shared" si="17"/>
        <v>0</v>
      </c>
      <c r="S11">
        <f t="shared" si="2"/>
        <v>0.32164462666028137</v>
      </c>
      <c r="T11">
        <f t="shared" si="3"/>
        <v>-0.93285580158980108</v>
      </c>
      <c r="U11">
        <f t="shared" si="18"/>
        <v>63.504716647250127</v>
      </c>
      <c r="V11">
        <f t="shared" si="19"/>
        <v>57.13117122553416</v>
      </c>
      <c r="W11">
        <f t="shared" si="20"/>
        <v>-63.504716647250127</v>
      </c>
      <c r="Y11">
        <f t="shared" si="21"/>
        <v>35.147154312311109</v>
      </c>
      <c r="Z11">
        <f t="shared" si="4"/>
        <v>-69.420128449076927</v>
      </c>
      <c r="AA11">
        <f t="shared" si="22"/>
        <v>28.357562334939018</v>
      </c>
      <c r="AB11">
        <f t="shared" si="23"/>
        <v>126.55129967461109</v>
      </c>
    </row>
    <row r="12" spans="1:28">
      <c r="A12">
        <v>160.3245390690042</v>
      </c>
      <c r="B12" s="270">
        <f t="shared" si="5"/>
        <v>0.16032453906900421</v>
      </c>
      <c r="C12" t="s">
        <v>38</v>
      </c>
      <c r="D12">
        <f t="shared" si="6"/>
        <v>4.734539304815922E-4</v>
      </c>
      <c r="E12">
        <f t="shared" si="7"/>
        <v>1.893815297411337E-2</v>
      </c>
      <c r="F12">
        <f t="shared" si="8"/>
        <v>2.5089663429616557E-3</v>
      </c>
      <c r="G12">
        <f t="shared" si="9"/>
        <v>1.893815297411337E-2</v>
      </c>
      <c r="H12">
        <f t="shared" si="10"/>
        <v>144.01980362972185</v>
      </c>
      <c r="I12">
        <f t="shared" si="11"/>
        <v>-1.1726576607976819E-2</v>
      </c>
      <c r="J12">
        <f t="shared" si="12"/>
        <v>9.75428973995297</v>
      </c>
      <c r="K12">
        <f t="shared" si="13"/>
        <v>-3.8775405223829155E-2</v>
      </c>
      <c r="L12">
        <f t="shared" si="14"/>
        <v>6.8388343250028655E-2</v>
      </c>
      <c r="M12" s="268">
        <f t="shared" si="0"/>
        <v>0.18443921060029464</v>
      </c>
      <c r="N12">
        <f t="shared" si="15"/>
        <v>3721.9432240941424</v>
      </c>
      <c r="O12">
        <f t="shared" si="16"/>
        <v>-1.2274476791888456</v>
      </c>
      <c r="P12" t="s">
        <v>82</v>
      </c>
      <c r="Q12">
        <f t="shared" si="1"/>
        <v>-23.493182485288049</v>
      </c>
      <c r="R12">
        <f t="shared" si="17"/>
        <v>0</v>
      </c>
      <c r="S12">
        <f t="shared" si="2"/>
        <v>0.30143061143787908</v>
      </c>
      <c r="T12">
        <f t="shared" si="3"/>
        <v>-0.95299618125547414</v>
      </c>
      <c r="U12">
        <f t="shared" si="18"/>
        <v>62.863316672496239</v>
      </c>
      <c r="V12">
        <f t="shared" si="19"/>
        <v>55.069769331328217</v>
      </c>
      <c r="W12">
        <f t="shared" si="20"/>
        <v>-62.863316672496239</v>
      </c>
      <c r="Y12">
        <f t="shared" si="21"/>
        <v>34.787643798107617</v>
      </c>
      <c r="Z12">
        <f t="shared" si="4"/>
        <v>-70.327571590648702</v>
      </c>
      <c r="AA12">
        <f t="shared" si="22"/>
        <v>28.075672874388626</v>
      </c>
      <c r="AB12">
        <f t="shared" si="23"/>
        <v>125.39734092197692</v>
      </c>
    </row>
    <row r="13" spans="1:28">
      <c r="A13">
        <v>168.07379257087374</v>
      </c>
      <c r="B13" s="270">
        <f t="shared" si="5"/>
        <v>0.16807379257087374</v>
      </c>
      <c r="D13">
        <f t="shared" si="6"/>
        <v>4.9633822848153375E-4</v>
      </c>
      <c r="E13">
        <f t="shared" si="7"/>
        <v>1.9853524248313152E-2</v>
      </c>
      <c r="F13">
        <f t="shared" si="8"/>
        <v>2.5098540630545231E-3</v>
      </c>
      <c r="G13">
        <f t="shared" si="9"/>
        <v>1.9853524248313152E-2</v>
      </c>
      <c r="H13">
        <f t="shared" si="10"/>
        <v>144.02176430470627</v>
      </c>
      <c r="I13">
        <f t="shared" si="11"/>
        <v>-1.2293322480119655E-2</v>
      </c>
      <c r="J13">
        <f t="shared" si="12"/>
        <v>9.7542816488991324</v>
      </c>
      <c r="K13">
        <f t="shared" si="13"/>
        <v>-4.0649606431342626E-2</v>
      </c>
      <c r="L13">
        <f t="shared" si="14"/>
        <v>6.846968541286505E-2</v>
      </c>
      <c r="M13" s="268">
        <f t="shared" si="0"/>
        <v>0.19335384075366488</v>
      </c>
      <c r="N13">
        <f t="shared" si="15"/>
        <v>3423.074342950993</v>
      </c>
      <c r="O13">
        <f t="shared" si="16"/>
        <v>-1.242752745998374</v>
      </c>
      <c r="P13">
        <f>ATAN(P6*Main!C60)-ATAN(Main!C60*BodI!P8)</f>
        <v>0</v>
      </c>
      <c r="Q13">
        <f t="shared" si="1"/>
        <v>-23.493182485288049</v>
      </c>
      <c r="R13">
        <f t="shared" si="17"/>
        <v>0</v>
      </c>
      <c r="S13">
        <f t="shared" si="2"/>
        <v>0.28196164195126017</v>
      </c>
      <c r="T13">
        <f t="shared" si="3"/>
        <v>-0.97264774641773144</v>
      </c>
      <c r="U13">
        <f t="shared" si="18"/>
        <v>62.209809310639926</v>
      </c>
      <c r="V13">
        <f t="shared" si="19"/>
        <v>53.066901853352817</v>
      </c>
      <c r="W13">
        <f t="shared" si="20"/>
        <v>-62.209809310639926</v>
      </c>
      <c r="Y13">
        <f t="shared" si="21"/>
        <v>34.424109671818215</v>
      </c>
      <c r="Z13">
        <f t="shared" si="4"/>
        <v>-71.204487324000439</v>
      </c>
      <c r="AA13">
        <f t="shared" si="22"/>
        <v>27.785699638821711</v>
      </c>
      <c r="AB13">
        <f t="shared" si="23"/>
        <v>124.27138917735326</v>
      </c>
    </row>
    <row r="14" spans="1:28">
      <c r="A14">
        <v>176.19760464116303</v>
      </c>
      <c r="B14" s="270">
        <f t="shared" si="5"/>
        <v>0.17619760464116302</v>
      </c>
      <c r="D14">
        <f t="shared" si="6"/>
        <v>5.203286343015487E-4</v>
      </c>
      <c r="E14">
        <f t="shared" si="7"/>
        <v>2.0813139737073216E-2</v>
      </c>
      <c r="F14">
        <f t="shared" si="8"/>
        <v>2.5108296725749185E-3</v>
      </c>
      <c r="G14">
        <f t="shared" si="9"/>
        <v>2.0813139737073216E-2</v>
      </c>
      <c r="H14">
        <f t="shared" si="10"/>
        <v>144.02391909796339</v>
      </c>
      <c r="I14">
        <f t="shared" si="11"/>
        <v>-1.2887453411357259E-2</v>
      </c>
      <c r="J14">
        <f t="shared" si="12"/>
        <v>9.7542727567806153</v>
      </c>
      <c r="K14">
        <f t="shared" si="13"/>
        <v>-4.2614396767350529E-2</v>
      </c>
      <c r="L14">
        <f t="shared" si="14"/>
        <v>6.85590809040722E-2</v>
      </c>
      <c r="M14" s="268">
        <f t="shared" si="0"/>
        <v>0.20269932713503092</v>
      </c>
      <c r="N14">
        <f t="shared" si="15"/>
        <v>3145.4948268264543</v>
      </c>
      <c r="O14">
        <f t="shared" si="16"/>
        <v>-1.257532331297845</v>
      </c>
      <c r="Q14">
        <f t="shared" si="1"/>
        <v>-23.493182485288049</v>
      </c>
      <c r="R14">
        <f t="shared" si="17"/>
        <v>0</v>
      </c>
      <c r="S14">
        <f t="shared" si="2"/>
        <v>0.26327908064967925</v>
      </c>
      <c r="T14">
        <f t="shared" si="3"/>
        <v>-0.99177546449746978</v>
      </c>
      <c r="U14">
        <f t="shared" si="18"/>
        <v>61.544798968348033</v>
      </c>
      <c r="V14">
        <f t="shared" si="19"/>
        <v>51.124156475054434</v>
      </c>
      <c r="W14">
        <f t="shared" si="20"/>
        <v>-61.544798968348033</v>
      </c>
      <c r="Y14">
        <f t="shared" si="21"/>
        <v>34.05683611123095</v>
      </c>
      <c r="Z14">
        <f t="shared" si="4"/>
        <v>-72.051295184613721</v>
      </c>
      <c r="AA14">
        <f t="shared" si="22"/>
        <v>27.487962857117086</v>
      </c>
      <c r="AB14">
        <f t="shared" si="23"/>
        <v>123.17545165966817</v>
      </c>
    </row>
    <row r="15" spans="1:28">
      <c r="A15">
        <v>184.71407949096059</v>
      </c>
      <c r="B15" s="270">
        <f t="shared" si="5"/>
        <v>0.18471407949096058</v>
      </c>
      <c r="C15" t="s">
        <v>39</v>
      </c>
      <c r="D15">
        <f t="shared" si="6"/>
        <v>5.4547861143479869E-4</v>
      </c>
      <c r="E15">
        <f t="shared" si="7"/>
        <v>2.1819137965174748E-2</v>
      </c>
      <c r="F15">
        <f t="shared" si="8"/>
        <v>2.5119018730799477E-3</v>
      </c>
      <c r="G15">
        <f t="shared" si="9"/>
        <v>2.1819137965174748E-2</v>
      </c>
      <c r="H15">
        <f t="shared" si="10"/>
        <v>144.02628722833572</v>
      </c>
      <c r="I15">
        <f t="shared" si="11"/>
        <v>-1.3510291762273261E-2</v>
      </c>
      <c r="J15">
        <f t="shared" si="12"/>
        <v>9.7542629842866937</v>
      </c>
      <c r="K15">
        <f t="shared" si="13"/>
        <v>-4.4674154838679328E-2</v>
      </c>
      <c r="L15">
        <f t="shared" si="14"/>
        <v>6.8657327045875211E-2</v>
      </c>
      <c r="M15" s="268">
        <f t="shared" si="0"/>
        <v>0.21249649043915825</v>
      </c>
      <c r="N15">
        <f t="shared" si="15"/>
        <v>2888.1164651984477</v>
      </c>
      <c r="O15">
        <f t="shared" si="16"/>
        <v>-1.2717953946512837</v>
      </c>
      <c r="P15" s="12"/>
      <c r="Q15">
        <f t="shared" si="1"/>
        <v>-23.493182485288049</v>
      </c>
      <c r="R15">
        <f t="shared" si="17"/>
        <v>0</v>
      </c>
      <c r="S15">
        <f t="shared" si="2"/>
        <v>0.24541431458226218</v>
      </c>
      <c r="T15">
        <f t="shared" si="3"/>
        <v>-1.0103478679778306</v>
      </c>
      <c r="U15">
        <f t="shared" si="18"/>
        <v>60.8688916202006</v>
      </c>
      <c r="V15">
        <f t="shared" si="19"/>
        <v>49.242822807135923</v>
      </c>
      <c r="W15">
        <f t="shared" si="20"/>
        <v>-60.8688916202006</v>
      </c>
      <c r="Y15">
        <f t="shared" si="21"/>
        <v>33.686093383167112</v>
      </c>
      <c r="Z15">
        <f t="shared" si="4"/>
        <v>-72.868508517693471</v>
      </c>
      <c r="AA15">
        <f t="shared" si="22"/>
        <v>27.182798237033492</v>
      </c>
      <c r="AB15">
        <f t="shared" si="23"/>
        <v>122.11133132482941</v>
      </c>
    </row>
    <row r="16" spans="1:28">
      <c r="A16">
        <v>193.64219639466071</v>
      </c>
      <c r="B16" s="270">
        <f t="shared" si="5"/>
        <v>0.19364219639466071</v>
      </c>
      <c r="C16">
        <f>C3*Main!G22*10^-3</f>
        <v>2.9530970943744059E-5</v>
      </c>
      <c r="D16">
        <f t="shared" si="6"/>
        <v>5.7184420752135054E-4</v>
      </c>
      <c r="E16">
        <f t="shared" si="7"/>
        <v>2.2873760821001621E-2</v>
      </c>
      <c r="F16">
        <f t="shared" si="8"/>
        <v>2.5130802276297185E-3</v>
      </c>
      <c r="G16">
        <f t="shared" si="9"/>
        <v>2.2873760821001621E-2</v>
      </c>
      <c r="H16">
        <f t="shared" si="10"/>
        <v>144.02888981744346</v>
      </c>
      <c r="I16">
        <f t="shared" si="11"/>
        <v>-1.4163223613222066E-2</v>
      </c>
      <c r="J16">
        <f t="shared" si="12"/>
        <v>9.7542522442542801</v>
      </c>
      <c r="K16">
        <f t="shared" si="13"/>
        <v>-4.683347089121255E-2</v>
      </c>
      <c r="L16">
        <f t="shared" si="14"/>
        <v>6.8765300099159515E-2</v>
      </c>
      <c r="M16" s="268">
        <f t="shared" si="0"/>
        <v>0.22276715701708991</v>
      </c>
      <c r="N16">
        <f t="shared" si="15"/>
        <v>2649.8367558446157</v>
      </c>
      <c r="O16">
        <f t="shared" si="16"/>
        <v>-1.2855523118756391</v>
      </c>
      <c r="P16">
        <f>SQRT(LOOKUP(Main!C60,B2:B200,N2:N200))*C29</f>
        <v>0.83608102748264368</v>
      </c>
      <c r="Q16">
        <f t="shared" si="1"/>
        <v>-23.493182485288049</v>
      </c>
      <c r="R16">
        <f t="shared" si="17"/>
        <v>0</v>
      </c>
      <c r="S16">
        <f t="shared" si="2"/>
        <v>0.22838909631341328</v>
      </c>
      <c r="T16">
        <f t="shared" si="3"/>
        <v>-1.0283370703139671</v>
      </c>
      <c r="U16">
        <f t="shared" si="18"/>
        <v>60.182690547987775</v>
      </c>
      <c r="V16">
        <f t="shared" si="19"/>
        <v>47.423904140402044</v>
      </c>
      <c r="W16">
        <f t="shared" si="20"/>
        <v>-60.182690547987775</v>
      </c>
      <c r="Y16">
        <f t="shared" si="21"/>
        <v>33.312137557466585</v>
      </c>
      <c r="Z16">
        <f t="shared" si="4"/>
        <v>-73.656721813759859</v>
      </c>
      <c r="AA16">
        <f t="shared" si="22"/>
        <v>26.87055299052119</v>
      </c>
      <c r="AB16">
        <f t="shared" si="23"/>
        <v>121.0806259541619</v>
      </c>
    </row>
    <row r="17" spans="1:28">
      <c r="A17">
        <v>203.00185198596861</v>
      </c>
      <c r="B17" s="270">
        <f t="shared" si="5"/>
        <v>0.20300185198596862</v>
      </c>
      <c r="C17" t="s">
        <v>199</v>
      </c>
      <c r="D17">
        <f t="shared" ref="D17:D64" si="24">B17*$C$9*1000</f>
        <v>5.9948417925238709E-4</v>
      </c>
      <c r="E17">
        <f t="shared" si="7"/>
        <v>2.3979358552362887E-2</v>
      </c>
      <c r="F17">
        <f t="shared" si="8"/>
        <v>2.5143752460807622E-3</v>
      </c>
      <c r="G17">
        <f t="shared" si="9"/>
        <v>2.3979358552362887E-2</v>
      </c>
      <c r="H17">
        <f t="shared" si="10"/>
        <v>144.0317500780705</v>
      </c>
      <c r="I17">
        <f t="shared" si="11"/>
        <v>-1.4847701814376149E-2</v>
      </c>
      <c r="J17">
        <f t="shared" si="12"/>
        <v>9.7542404408904702</v>
      </c>
      <c r="K17">
        <f t="shared" si="13"/>
        <v>-4.9097157039421212E-2</v>
      </c>
      <c r="L17">
        <f t="shared" si="14"/>
        <v>6.8883963078673185E-2</v>
      </c>
      <c r="M17" s="268">
        <f t="shared" si="0"/>
        <v>0.23353420737667441</v>
      </c>
      <c r="N17">
        <f t="shared" si="15"/>
        <v>2429.5531613607977</v>
      </c>
      <c r="O17">
        <f t="shared" si="16"/>
        <v>-1.2988146673800758</v>
      </c>
      <c r="P17">
        <f>LOOKUP(Main!C60,B2:B200,O2:O200)</f>
        <v>-1.9615552240801521</v>
      </c>
      <c r="Q17">
        <f t="shared" si="1"/>
        <v>-23.493182485288049</v>
      </c>
      <c r="R17">
        <f t="shared" si="17"/>
        <v>0</v>
      </c>
      <c r="S17">
        <f t="shared" si="2"/>
        <v>0.21221607185928315</v>
      </c>
      <c r="T17">
        <f t="shared" si="3"/>
        <v>-1.0457187205457183</v>
      </c>
      <c r="U17">
        <f t="shared" si="18"/>
        <v>59.486792465948156</v>
      </c>
      <c r="V17">
        <f t="shared" si="19"/>
        <v>45.668131944343799</v>
      </c>
      <c r="W17">
        <f t="shared" si="20"/>
        <v>-59.486792465948156</v>
      </c>
      <c r="Y17">
        <f t="shared" si="21"/>
        <v>32.935210422106152</v>
      </c>
      <c r="Z17">
        <f t="shared" si="4"/>
        <v>-74.416598810566171</v>
      </c>
      <c r="AA17">
        <f t="shared" si="22"/>
        <v>26.551582043841996</v>
      </c>
      <c r="AB17">
        <f t="shared" si="23"/>
        <v>120.08473075490997</v>
      </c>
    </row>
    <row r="18" spans="1:28">
      <c r="A18">
        <v>212.81390459827128</v>
      </c>
      <c r="B18" s="270">
        <f t="shared" si="5"/>
        <v>0.21281390459827129</v>
      </c>
      <c r="C18">
        <f>C16*Main!G24</f>
        <v>1.1812388377497624E-4</v>
      </c>
      <c r="D18">
        <f t="shared" si="24"/>
        <v>6.2846012331162692E-4</v>
      </c>
      <c r="E18">
        <f t="shared" si="7"/>
        <v>2.5138395003751129E-2</v>
      </c>
      <c r="F18">
        <f t="shared" si="8"/>
        <v>2.5157984788239138E-3</v>
      </c>
      <c r="G18">
        <f t="shared" si="9"/>
        <v>2.5138395003751129E-2</v>
      </c>
      <c r="H18">
        <f t="shared" si="10"/>
        <v>144.03489352120189</v>
      </c>
      <c r="I18">
        <f t="shared" si="11"/>
        <v>-1.5565249178663424E-2</v>
      </c>
      <c r="J18">
        <f t="shared" si="12"/>
        <v>9.754227468918117</v>
      </c>
      <c r="K18">
        <f t="shared" si="13"/>
        <v>-5.1470257990335611E-2</v>
      </c>
      <c r="L18">
        <f t="shared" si="14"/>
        <v>6.9014374341941007E-2</v>
      </c>
      <c r="M18" s="268">
        <f t="shared" si="0"/>
        <v>0.24482162701097532</v>
      </c>
      <c r="N18">
        <f t="shared" si="15"/>
        <v>2226.1751013626695</v>
      </c>
      <c r="O18">
        <f t="shared" si="16"/>
        <v>-1.3115950612498846</v>
      </c>
      <c r="Q18">
        <f t="shared" si="1"/>
        <v>-23.493182485288049</v>
      </c>
      <c r="R18">
        <f t="shared" si="17"/>
        <v>0</v>
      </c>
      <c r="S18">
        <f t="shared" si="2"/>
        <v>0.19689945643987558</v>
      </c>
      <c r="T18">
        <f t="shared" si="3"/>
        <v>-1.0624719037955146</v>
      </c>
      <c r="U18">
        <f t="shared" si="18"/>
        <v>58.781784071072721</v>
      </c>
      <c r="V18">
        <f t="shared" si="19"/>
        <v>43.975982621466301</v>
      </c>
      <c r="W18">
        <f t="shared" si="20"/>
        <v>-58.781784071072721</v>
      </c>
      <c r="Y18">
        <f t="shared" si="21"/>
        <v>32.555539569340041</v>
      </c>
      <c r="Z18">
        <f t="shared" si="4"/>
        <v>-75.14886143982109</v>
      </c>
      <c r="AA18">
        <f t="shared" si="22"/>
        <v>26.22624450173268</v>
      </c>
      <c r="AB18">
        <f t="shared" si="23"/>
        <v>119.12484406128738</v>
      </c>
    </row>
    <row r="19" spans="1:28">
      <c r="A19">
        <v>223.10022074819568</v>
      </c>
      <c r="B19" s="270">
        <f t="shared" si="5"/>
        <v>0.22310022074819569</v>
      </c>
      <c r="C19" t="s">
        <v>104</v>
      </c>
      <c r="D19">
        <f t="shared" si="24"/>
        <v>6.5883661364578511E-4</v>
      </c>
      <c r="E19">
        <f t="shared" si="7"/>
        <v>2.6353453106701775E-2</v>
      </c>
      <c r="F19">
        <f t="shared" si="8"/>
        <v>2.5173626198026922E-3</v>
      </c>
      <c r="G19">
        <f t="shared" si="9"/>
        <v>2.6353453106701775E-2</v>
      </c>
      <c r="H19">
        <f t="shared" si="10"/>
        <v>144.03834818355926</v>
      </c>
      <c r="I19">
        <f t="shared" si="11"/>
        <v>-1.6317461823813679E-2</v>
      </c>
      <c r="J19">
        <f t="shared" si="12"/>
        <v>9.7542132126367758</v>
      </c>
      <c r="K19">
        <f t="shared" si="13"/>
        <v>-5.3958062285859379E-2</v>
      </c>
      <c r="L19">
        <f t="shared" si="14"/>
        <v>6.915769702848458E-2</v>
      </c>
      <c r="M19" s="268">
        <f t="shared" si="0"/>
        <v>0.25665455966459605</v>
      </c>
      <c r="N19">
        <f t="shared" si="15"/>
        <v>2038.6338289378518</v>
      </c>
      <c r="O19">
        <f t="shared" si="16"/>
        <v>-1.3239069318721095</v>
      </c>
      <c r="P19" t="s">
        <v>93</v>
      </c>
      <c r="Q19">
        <f t="shared" si="1"/>
        <v>-23.493182485288049</v>
      </c>
      <c r="R19">
        <f t="shared" si="17"/>
        <v>0</v>
      </c>
      <c r="S19">
        <f t="shared" si="2"/>
        <v>0.18243581826064678</v>
      </c>
      <c r="T19">
        <f t="shared" si="3"/>
        <v>-1.0785789956314613</v>
      </c>
      <c r="U19">
        <f t="shared" si="18"/>
        <v>58.06823904301298</v>
      </c>
      <c r="V19">
        <f t="shared" si="19"/>
        <v>42.347696014472319</v>
      </c>
      <c r="W19">
        <f t="shared" si="20"/>
        <v>-58.06823904301298</v>
      </c>
      <c r="Y19">
        <f t="shared" si="21"/>
        <v>32.173338624410427</v>
      </c>
      <c r="Z19">
        <f t="shared" si="4"/>
        <v>-75.854279664385686</v>
      </c>
      <c r="AA19">
        <f t="shared" si="22"/>
        <v>25.894900418602553</v>
      </c>
      <c r="AB19">
        <f t="shared" si="23"/>
        <v>118.20197567885802</v>
      </c>
    </row>
    <row r="20" spans="1:28">
      <c r="A20">
        <v>233.88372386593542</v>
      </c>
      <c r="B20" s="270">
        <f t="shared" si="5"/>
        <v>0.23388372386593542</v>
      </c>
      <c r="D20">
        <f t="shared" si="24"/>
        <v>6.9068134536995969E-4</v>
      </c>
      <c r="E20">
        <f t="shared" si="7"/>
        <v>2.7627240635479604E-2</v>
      </c>
      <c r="F20">
        <f t="shared" si="8"/>
        <v>2.5190816197309725E-3</v>
      </c>
      <c r="G20">
        <f t="shared" si="9"/>
        <v>2.7627240635479604E-2</v>
      </c>
      <c r="H20">
        <f t="shared" si="10"/>
        <v>144.04214487766325</v>
      </c>
      <c r="I20">
        <f t="shared" si="11"/>
        <v>-1.7106012669928099E-2</v>
      </c>
      <c r="J20">
        <f t="shared" si="12"/>
        <v>9.7541975448906992</v>
      </c>
      <c r="K20">
        <f t="shared" si="13"/>
        <v>-5.6566114088477171E-2</v>
      </c>
      <c r="L20">
        <f t="shared" si="14"/>
        <v>6.9315209433523831E-2</v>
      </c>
      <c r="M20" s="268">
        <f t="shared" si="0"/>
        <v>0.26905936315287593</v>
      </c>
      <c r="N20">
        <f t="shared" si="15"/>
        <v>1865.8903696515993</v>
      </c>
      <c r="O20">
        <f t="shared" si="16"/>
        <v>-1.3357643944215463</v>
      </c>
      <c r="P20">
        <f>20*LOG(C29*PS!B76)</f>
        <v>-73.685496921098206</v>
      </c>
      <c r="Q20">
        <f t="shared" si="1"/>
        <v>-23.493182485288049</v>
      </c>
      <c r="R20">
        <f t="shared" si="17"/>
        <v>0</v>
      </c>
      <c r="S20">
        <f t="shared" si="2"/>
        <v>0.16881493210525036</v>
      </c>
      <c r="T20">
        <f t="shared" si="3"/>
        <v>-1.0940254786355945</v>
      </c>
      <c r="U20">
        <f t="shared" si="18"/>
        <v>57.346715504255378</v>
      </c>
      <c r="V20">
        <f t="shared" si="19"/>
        <v>40.783295170197789</v>
      </c>
      <c r="W20">
        <f t="shared" si="20"/>
        <v>-57.346715504255378</v>
      </c>
      <c r="Y20">
        <f t="shared" si="21"/>
        <v>31.788807590521586</v>
      </c>
      <c r="Z20">
        <f t="shared" si="4"/>
        <v>-76.533662224202843</v>
      </c>
      <c r="AA20">
        <f t="shared" si="22"/>
        <v>25.557907913733796</v>
      </c>
      <c r="AB20">
        <f t="shared" si="23"/>
        <v>117.31695739440062</v>
      </c>
    </row>
    <row r="21" spans="1:28">
      <c r="A21">
        <v>245.18844538095163</v>
      </c>
      <c r="B21" s="270">
        <f t="shared" si="5"/>
        <v>0.24518844538095164</v>
      </c>
      <c r="C21" t="s">
        <v>40</v>
      </c>
      <c r="D21">
        <f t="shared" si="24"/>
        <v>7.2406528562866587E-4</v>
      </c>
      <c r="E21">
        <f t="shared" si="7"/>
        <v>2.8962596240910729E-2</v>
      </c>
      <c r="F21">
        <f t="shared" si="8"/>
        <v>2.5209708105197229E-3</v>
      </c>
      <c r="G21">
        <f t="shared" si="9"/>
        <v>2.8962596240910729E-2</v>
      </c>
      <c r="H21">
        <f t="shared" si="10"/>
        <v>144.04631746665407</v>
      </c>
      <c r="I21">
        <f t="shared" si="11"/>
        <v>-1.7932655099177235E-2</v>
      </c>
      <c r="J21">
        <f t="shared" si="12"/>
        <v>9.7541803259346338</v>
      </c>
      <c r="K21">
        <f t="shared" si="13"/>
        <v>-5.9300225536623161E-2</v>
      </c>
      <c r="L21">
        <f t="shared" si="14"/>
        <v>6.9488316408667469E-2</v>
      </c>
      <c r="M21" s="268">
        <f t="shared" si="0"/>
        <v>0.28206366785405207</v>
      </c>
      <c r="N21">
        <f t="shared" si="15"/>
        <v>1706.9417179832217</v>
      </c>
      <c r="O21">
        <f t="shared" si="16"/>
        <v>-1.3471820951373998</v>
      </c>
      <c r="P21">
        <f>P20+20*LOG(PS!B81*1000)</f>
        <v>55.856928173295046</v>
      </c>
      <c r="Q21">
        <f t="shared" si="1"/>
        <v>-23.493182485288049</v>
      </c>
      <c r="R21">
        <f t="shared" si="17"/>
        <v>0</v>
      </c>
      <c r="S21">
        <f t="shared" si="2"/>
        <v>0.15602066774975104</v>
      </c>
      <c r="T21">
        <f t="shared" si="3"/>
        <v>-1.1087997294939089</v>
      </c>
      <c r="U21">
        <f t="shared" si="18"/>
        <v>56.617753938648555</v>
      </c>
      <c r="V21">
        <f t="shared" si="19"/>
        <v>39.282606887786926</v>
      </c>
      <c r="W21">
        <f t="shared" si="20"/>
        <v>-56.617753938648555</v>
      </c>
      <c r="Y21">
        <f t="shared" si="21"/>
        <v>31.402133286215161</v>
      </c>
      <c r="Z21">
        <f t="shared" si="4"/>
        <v>-77.187848286964751</v>
      </c>
      <c r="AA21">
        <f t="shared" si="22"/>
        <v>25.21562065243339</v>
      </c>
      <c r="AB21">
        <f t="shared" si="23"/>
        <v>116.47045517475166</v>
      </c>
    </row>
    <row r="22" spans="1:28">
      <c r="A22">
        <v>257.03957827688663</v>
      </c>
      <c r="B22" s="270">
        <f t="shared" si="5"/>
        <v>0.25703957827688662</v>
      </c>
      <c r="C22">
        <f>Main!G24</f>
        <v>4</v>
      </c>
      <c r="D22">
        <f t="shared" si="24"/>
        <v>7.5906283174869652E-4</v>
      </c>
      <c r="E22">
        <f t="shared" si="7"/>
        <v>3.0362495775794879E-2</v>
      </c>
      <c r="F22">
        <f t="shared" si="8"/>
        <v>2.5230470420225326E-3</v>
      </c>
      <c r="G22">
        <f t="shared" si="9"/>
        <v>3.0362495775794879E-2</v>
      </c>
      <c r="H22">
        <f t="shared" si="10"/>
        <v>144.05090316632055</v>
      </c>
      <c r="I22">
        <f t="shared" si="11"/>
        <v>-1.87992267844126E-2</v>
      </c>
      <c r="J22">
        <f t="shared" si="12"/>
        <v>9.7541614021873126</v>
      </c>
      <c r="K22">
        <f t="shared" si="13"/>
        <v>-6.2166489697242693E-2</v>
      </c>
      <c r="L22">
        <f t="shared" si="14"/>
        <v>6.967856189125593E-2</v>
      </c>
      <c r="M22" s="268">
        <f t="shared" si="0"/>
        <v>0.29569643799976314</v>
      </c>
      <c r="N22">
        <f t="shared" si="15"/>
        <v>1560.8254920864283</v>
      </c>
      <c r="O22">
        <f t="shared" si="16"/>
        <v>-1.3581750810153166</v>
      </c>
      <c r="Q22">
        <f t="shared" si="1"/>
        <v>-23.493182485288049</v>
      </c>
      <c r="R22">
        <f t="shared" si="17"/>
        <v>0</v>
      </c>
      <c r="S22">
        <f t="shared" si="2"/>
        <v>0.14403188258432481</v>
      </c>
      <c r="T22">
        <f t="shared" si="3"/>
        <v>-1.1228927845857599</v>
      </c>
      <c r="U22">
        <f t="shared" si="18"/>
        <v>55.881875555520224</v>
      </c>
      <c r="V22">
        <f t="shared" si="19"/>
        <v>37.845282615526941</v>
      </c>
      <c r="W22">
        <f t="shared" si="20"/>
        <v>-55.881875555520224</v>
      </c>
      <c r="Y22">
        <f t="shared" si="21"/>
        <v>31.01348985387316</v>
      </c>
      <c r="Z22">
        <f t="shared" si="4"/>
        <v>-77.817699982016293</v>
      </c>
      <c r="AA22">
        <f t="shared" si="22"/>
        <v>24.868385701647064</v>
      </c>
      <c r="AB22">
        <f t="shared" si="23"/>
        <v>115.66298259754325</v>
      </c>
    </row>
    <row r="23" spans="1:28">
      <c r="A23">
        <v>269.46353323504741</v>
      </c>
      <c r="B23" s="270">
        <f t="shared" si="5"/>
        <v>0.2694635332350474</v>
      </c>
      <c r="C23" t="s">
        <v>44</v>
      </c>
      <c r="D23">
        <f t="shared" si="24"/>
        <v>7.957519770362795E-4</v>
      </c>
      <c r="E23">
        <f t="shared" si="7"/>
        <v>3.1830058925982785E-2</v>
      </c>
      <c r="F23">
        <f t="shared" si="8"/>
        <v>2.5253288323195322E-3</v>
      </c>
      <c r="G23">
        <f t="shared" si="9"/>
        <v>3.1830058925982785E-2</v>
      </c>
      <c r="H23">
        <f t="shared" si="10"/>
        <v>144.0559428770319</v>
      </c>
      <c r="I23">
        <f t="shared" si="11"/>
        <v>-1.9707653693647159E-2</v>
      </c>
      <c r="J23">
        <f t="shared" si="12"/>
        <v>9.7541406048615329</v>
      </c>
      <c r="K23">
        <f t="shared" si="13"/>
        <v>-6.5171294144414318E-2</v>
      </c>
      <c r="L23">
        <f t="shared" si="14"/>
        <v>6.9887642674083109E-2</v>
      </c>
      <c r="M23" s="268">
        <f t="shared" si="0"/>
        <v>0.30998803589477453</v>
      </c>
      <c r="N23">
        <f t="shared" si="15"/>
        <v>1426.6232456524592</v>
      </c>
      <c r="O23">
        <f t="shared" si="16"/>
        <v>-1.3687586843080211</v>
      </c>
      <c r="P23" t="s">
        <v>85</v>
      </c>
      <c r="Q23">
        <f t="shared" si="1"/>
        <v>-23.493182485288049</v>
      </c>
      <c r="R23">
        <f t="shared" si="17"/>
        <v>0</v>
      </c>
      <c r="S23">
        <f t="shared" si="2"/>
        <v>0.13282329286168931</v>
      </c>
      <c r="T23">
        <f t="shared" si="3"/>
        <v>-1.1362980914697138</v>
      </c>
      <c r="U23">
        <f t="shared" si="18"/>
        <v>55.139581077741468</v>
      </c>
      <c r="V23">
        <f t="shared" si="19"/>
        <v>36.470819307285979</v>
      </c>
      <c r="W23">
        <f t="shared" si="20"/>
        <v>-55.139581077741468</v>
      </c>
      <c r="Y23">
        <f t="shared" si="21"/>
        <v>30.623039320687081</v>
      </c>
      <c r="Z23">
        <f t="shared" si="4"/>
        <v>-78.424095782729026</v>
      </c>
      <c r="AA23">
        <f t="shared" si="22"/>
        <v>24.516541757054391</v>
      </c>
      <c r="AB23">
        <f t="shared" si="23"/>
        <v>114.89491509001503</v>
      </c>
    </row>
    <row r="24" spans="1:28">
      <c r="A24">
        <v>282.48799749157081</v>
      </c>
      <c r="B24" s="270">
        <f t="shared" si="5"/>
        <v>0.28248799749157083</v>
      </c>
      <c r="C24">
        <f>(1-PS!B73)*Main!G58/Main!C13</f>
        <v>2.5000000000000001E-3</v>
      </c>
      <c r="D24">
        <f t="shared" si="24"/>
        <v>8.3421448458800211E-4</v>
      </c>
      <c r="E24">
        <f t="shared" si="7"/>
        <v>3.3368556161881155E-2</v>
      </c>
      <c r="F24">
        <f t="shared" si="8"/>
        <v>2.5278365328800295E-3</v>
      </c>
      <c r="G24">
        <f t="shared" si="9"/>
        <v>3.3368556161881155E-2</v>
      </c>
      <c r="H24">
        <f t="shared" si="10"/>
        <v>144.06148154853273</v>
      </c>
      <c r="I24">
        <f t="shared" si="11"/>
        <v>-2.0659954277512195E-2</v>
      </c>
      <c r="J24">
        <f t="shared" si="12"/>
        <v>9.7541177484585475</v>
      </c>
      <c r="K24">
        <f t="shared" si="13"/>
        <v>-6.832133519429133E-2</v>
      </c>
      <c r="L24">
        <f t="shared" si="14"/>
        <v>7.0117423538280765E-2</v>
      </c>
      <c r="M24" s="268">
        <f t="shared" si="0"/>
        <v>0.32497028920243809</v>
      </c>
      <c r="N24">
        <f t="shared" si="15"/>
        <v>1303.4626275734065</v>
      </c>
      <c r="O24">
        <f t="shared" si="16"/>
        <v>-1.378948421060636</v>
      </c>
      <c r="P24">
        <f>Main!G65*2*Main!G67*PI()*10^-9</f>
        <v>2.4215396173870126E-4</v>
      </c>
      <c r="Q24">
        <f t="shared" si="1"/>
        <v>-23.493182485288049</v>
      </c>
      <c r="R24">
        <f t="shared" si="17"/>
        <v>0</v>
      </c>
      <c r="S24">
        <f t="shared" si="2"/>
        <v>0.12236630325362087</v>
      </c>
      <c r="T24">
        <f t="shared" si="3"/>
        <v>-1.1490112529140695</v>
      </c>
      <c r="U24">
        <f t="shared" si="18"/>
        <v>54.391349925278099</v>
      </c>
      <c r="V24">
        <f t="shared" si="19"/>
        <v>35.158579901981796</v>
      </c>
      <c r="W24">
        <f t="shared" si="20"/>
        <v>-54.391349925278099</v>
      </c>
      <c r="Y24">
        <f t="shared" si="21"/>
        <v>30.23093219597683</v>
      </c>
      <c r="Z24">
        <f t="shared" si="4"/>
        <v>-79.007924693003204</v>
      </c>
      <c r="AA24">
        <f t="shared" si="22"/>
        <v>24.160417729301265</v>
      </c>
      <c r="AB24">
        <f t="shared" si="23"/>
        <v>114.16650459498501</v>
      </c>
    </row>
    <row r="25" spans="1:28">
      <c r="A25">
        <v>296.14199653943615</v>
      </c>
      <c r="B25" s="270">
        <f t="shared" si="5"/>
        <v>0.29614199653943613</v>
      </c>
      <c r="C25" t="s">
        <v>33</v>
      </c>
      <c r="D25">
        <f t="shared" si="24"/>
        <v>8.745360695028441E-4</v>
      </c>
      <c r="E25">
        <f t="shared" si="7"/>
        <v>3.4981416025860253E-2</v>
      </c>
      <c r="F25">
        <f t="shared" si="8"/>
        <v>2.5305925100768995E-3</v>
      </c>
      <c r="G25">
        <f t="shared" si="9"/>
        <v>3.4981416025860253E-2</v>
      </c>
      <c r="H25">
        <f t="shared" si="10"/>
        <v>144.06756858085481</v>
      </c>
      <c r="I25">
        <f t="shared" si="11"/>
        <v>-2.1658243846931269E-2</v>
      </c>
      <c r="J25">
        <f t="shared" si="12"/>
        <v>9.7540926291134387</v>
      </c>
      <c r="K25">
        <f t="shared" si="13"/>
        <v>-7.1623632828085759E-2</v>
      </c>
      <c r="L25">
        <f t="shared" si="14"/>
        <v>7.0369953884301825E-2</v>
      </c>
      <c r="M25" s="268">
        <f t="shared" si="0"/>
        <v>0.34067656143824693</v>
      </c>
      <c r="N25">
        <f t="shared" si="15"/>
        <v>1190.5185679031015</v>
      </c>
      <c r="O25">
        <f t="shared" si="16"/>
        <v>-1.3887599027942739</v>
      </c>
      <c r="P25" t="s">
        <v>86</v>
      </c>
      <c r="Q25">
        <f t="shared" si="1"/>
        <v>-23.493182485288049</v>
      </c>
      <c r="R25">
        <f t="shared" si="17"/>
        <v>0</v>
      </c>
      <c r="S25">
        <f t="shared" si="2"/>
        <v>0.11262977954083062</v>
      </c>
      <c r="T25">
        <f t="shared" si="3"/>
        <v>-1.161029769270989</v>
      </c>
      <c r="U25">
        <f t="shared" si="18"/>
        <v>53.63763976096309</v>
      </c>
      <c r="V25">
        <f t="shared" si="19"/>
        <v>33.907813144614238</v>
      </c>
      <c r="W25">
        <f t="shared" si="20"/>
        <v>-53.63763976096309</v>
      </c>
      <c r="Y25">
        <f t="shared" si="21"/>
        <v>29.837308091153993</v>
      </c>
      <c r="Z25">
        <f t="shared" si="4"/>
        <v>-79.570081187110361</v>
      </c>
      <c r="AA25">
        <f t="shared" si="22"/>
        <v>23.800331669809097</v>
      </c>
      <c r="AB25">
        <f t="shared" si="23"/>
        <v>113.47789433172457</v>
      </c>
    </row>
    <row r="26" spans="1:28">
      <c r="A26">
        <v>310.45595881283577</v>
      </c>
      <c r="B26" s="270">
        <f t="shared" si="5"/>
        <v>0.31045595881283577</v>
      </c>
      <c r="D26">
        <f t="shared" si="24"/>
        <v>9.1680658990140544E-4</v>
      </c>
      <c r="E26">
        <f t="shared" si="7"/>
        <v>3.6672232771785863E-2</v>
      </c>
      <c r="F26">
        <f t="shared" si="8"/>
        <v>2.5336213446715715E-3</v>
      </c>
      <c r="G26">
        <f t="shared" si="9"/>
        <v>3.6672232771785863E-2</v>
      </c>
      <c r="H26">
        <f t="shared" si="10"/>
        <v>144.07425826492161</v>
      </c>
      <c r="I26">
        <f t="shared" si="11"/>
        <v>-2.2704739148360239E-2</v>
      </c>
      <c r="J26">
        <f t="shared" si="12"/>
        <v>9.7540650227765671</v>
      </c>
      <c r="K26">
        <f t="shared" si="13"/>
        <v>-7.508554633635281E-2</v>
      </c>
      <c r="L26">
        <f t="shared" si="14"/>
        <v>7.0647486009292881E-2</v>
      </c>
      <c r="M26" s="268">
        <f t="shared" si="0"/>
        <v>0.35714182581983228</v>
      </c>
      <c r="N26">
        <f t="shared" si="15"/>
        <v>1087.0136538219724</v>
      </c>
      <c r="O26">
        <f t="shared" si="16"/>
        <v>-1.3982087603842408</v>
      </c>
      <c r="P26">
        <f>PS!B81*2*Main!G65*PI()*10^-9</f>
        <v>8.8592912831232159E-3</v>
      </c>
      <c r="Q26">
        <f t="shared" si="1"/>
        <v>-23.493182485288049</v>
      </c>
      <c r="R26">
        <f t="shared" si="17"/>
        <v>0</v>
      </c>
      <c r="S26">
        <f t="shared" si="2"/>
        <v>0.10358075402963209</v>
      </c>
      <c r="T26">
        <f t="shared" si="3"/>
        <v>-1.172352784102155</v>
      </c>
      <c r="U26">
        <f t="shared" si="18"/>
        <v>52.87888636228508</v>
      </c>
      <c r="V26">
        <f t="shared" si="19"/>
        <v>32.717672522299097</v>
      </c>
      <c r="W26">
        <f t="shared" si="20"/>
        <v>-52.87888636228508</v>
      </c>
      <c r="Y26">
        <f t="shared" si="21"/>
        <v>29.442296350859966</v>
      </c>
      <c r="Z26">
        <f t="shared" si="4"/>
        <v>-80.111460848235609</v>
      </c>
      <c r="AA26">
        <f t="shared" si="22"/>
        <v>23.43659001142511</v>
      </c>
      <c r="AB26">
        <f t="shared" si="23"/>
        <v>112.82913337053472</v>
      </c>
    </row>
    <row r="27" spans="1:28">
      <c r="A27">
        <v>325.46178349804615</v>
      </c>
      <c r="B27" s="270">
        <f t="shared" si="5"/>
        <v>0.32546178349804616</v>
      </c>
      <c r="C27">
        <f>INDEX(IC!R3:R4,PS!B2)</f>
        <v>0.18518518518518517</v>
      </c>
      <c r="D27">
        <f t="shared" si="24"/>
        <v>9.6112024717799193E-4</v>
      </c>
      <c r="E27">
        <f t="shared" si="7"/>
        <v>3.8444774373677486E-2</v>
      </c>
      <c r="F27">
        <f t="shared" si="8"/>
        <v>2.5369500510487313E-3</v>
      </c>
      <c r="G27">
        <f t="shared" si="9"/>
        <v>3.8444774373677486E-2</v>
      </c>
      <c r="H27">
        <f t="shared" si="10"/>
        <v>144.08161026677496</v>
      </c>
      <c r="I27">
        <f t="shared" si="11"/>
        <v>-2.3801763144017562E-2</v>
      </c>
      <c r="J27">
        <f t="shared" si="12"/>
        <v>9.7540346832150178</v>
      </c>
      <c r="K27">
        <f t="shared" si="13"/>
        <v>-7.8714790719437155E-2</v>
      </c>
      <c r="L27">
        <f t="shared" si="14"/>
        <v>7.0952495193821769E-2</v>
      </c>
      <c r="M27" s="268">
        <f t="shared" si="0"/>
        <v>0.37440274262789741</v>
      </c>
      <c r="N27">
        <f t="shared" si="15"/>
        <v>992.21784314779438</v>
      </c>
      <c r="O27">
        <f t="shared" si="16"/>
        <v>-1.4073105791485574</v>
      </c>
      <c r="P27" t="s">
        <v>87</v>
      </c>
      <c r="Q27">
        <f t="shared" si="1"/>
        <v>-23.493182485288049</v>
      </c>
      <c r="R27">
        <f t="shared" si="17"/>
        <v>0</v>
      </c>
      <c r="S27">
        <f t="shared" si="2"/>
        <v>9.5185057510419349E-2</v>
      </c>
      <c r="T27">
        <f t="shared" si="3"/>
        <v>-1.1829808370793062</v>
      </c>
      <c r="U27">
        <f t="shared" si="18"/>
        <v>52.115503781696447</v>
      </c>
      <c r="V27">
        <f t="shared" si="19"/>
        <v>31.587234141178584</v>
      </c>
      <c r="W27">
        <f t="shared" si="20"/>
        <v>-52.115503781696447</v>
      </c>
      <c r="Y27">
        <f t="shared" si="21"/>
        <v>29.046016685843377</v>
      </c>
      <c r="Z27">
        <f t="shared" si="4"/>
        <v>-80.63295664932393</v>
      </c>
      <c r="AA27">
        <f t="shared" si="22"/>
        <v>23.06948709585307</v>
      </c>
      <c r="AB27">
        <f t="shared" si="23"/>
        <v>112.22019079050251</v>
      </c>
    </row>
    <row r="28" spans="1:28">
      <c r="A28">
        <v>341.1929116219286</v>
      </c>
      <c r="B28" s="270">
        <f t="shared" si="5"/>
        <v>0.34119291162192861</v>
      </c>
      <c r="C28" t="s">
        <v>48</v>
      </c>
      <c r="D28">
        <f t="shared" si="24"/>
        <v>1.0075757959318607E-3</v>
      </c>
      <c r="E28">
        <f t="shared" si="7"/>
        <v>4.0302990921315944E-2</v>
      </c>
      <c r="F28">
        <f t="shared" si="8"/>
        <v>2.5406083181559796E-3</v>
      </c>
      <c r="G28">
        <f t="shared" si="9"/>
        <v>4.0302990921315944E-2</v>
      </c>
      <c r="H28">
        <f t="shared" si="10"/>
        <v>144.08969015974333</v>
      </c>
      <c r="I28">
        <f t="shared" si="11"/>
        <v>-2.4951750004568837E-2</v>
      </c>
      <c r="J28">
        <f t="shared" si="12"/>
        <v>9.7540013398160763</v>
      </c>
      <c r="K28">
        <f t="shared" si="13"/>
        <v>-8.2519453880632837E-2</v>
      </c>
      <c r="L28">
        <f t="shared" si="14"/>
        <v>7.1287701777052737E-2</v>
      </c>
      <c r="M28" s="268">
        <f t="shared" si="0"/>
        <v>0.39249774023887835</v>
      </c>
      <c r="N28">
        <f t="shared" si="15"/>
        <v>905.44764633359546</v>
      </c>
      <c r="O28">
        <f t="shared" si="16"/>
        <v>-1.4160808441606811</v>
      </c>
      <c r="P28">
        <f>PS!B81*2*Main!G69*PI()*10^-9</f>
        <v>4.1469023027385272E-4</v>
      </c>
      <c r="Q28">
        <f t="shared" si="1"/>
        <v>-23.493182485288049</v>
      </c>
      <c r="R28">
        <f t="shared" si="17"/>
        <v>0</v>
      </c>
      <c r="S28">
        <f t="shared" si="2"/>
        <v>8.740787515414386E-2</v>
      </c>
      <c r="T28">
        <f t="shared" si="3"/>
        <v>-1.1929156273418651</v>
      </c>
      <c r="U28">
        <f t="shared" si="18"/>
        <v>51.347884758041843</v>
      </c>
      <c r="V28">
        <f t="shared" si="19"/>
        <v>30.515513418380351</v>
      </c>
      <c r="W28">
        <f t="shared" si="20"/>
        <v>-51.347884758041843</v>
      </c>
      <c r="Y28">
        <f t="shared" si="21"/>
        <v>28.648579799962398</v>
      </c>
      <c r="Z28">
        <f t="shared" si="4"/>
        <v>-81.13545581972987</v>
      </c>
      <c r="AA28">
        <f t="shared" si="22"/>
        <v>22.699304958079445</v>
      </c>
      <c r="AB28">
        <f t="shared" si="23"/>
        <v>111.65096923811022</v>
      </c>
    </row>
    <row r="29" spans="1:28">
      <c r="A29">
        <v>357.68440057647575</v>
      </c>
      <c r="B29" s="270">
        <f t="shared" si="5"/>
        <v>0.35768440057647577</v>
      </c>
      <c r="C29" s="107">
        <f>PS!B71*C27</f>
        <v>0.89949202651982674</v>
      </c>
      <c r="D29">
        <f t="shared" si="24"/>
        <v>1.0562767640454416E-3</v>
      </c>
      <c r="E29">
        <f t="shared" si="7"/>
        <v>4.2251023421480363E-2</v>
      </c>
      <c r="F29">
        <f t="shared" si="8"/>
        <v>2.5446287742972493E-3</v>
      </c>
      <c r="G29">
        <f t="shared" ref="G29:G81" si="25">E29</f>
        <v>4.2251023421480363E-2</v>
      </c>
      <c r="H29">
        <f t="shared" si="10"/>
        <v>144.09857000929756</v>
      </c>
      <c r="I29">
        <f t="shared" si="11"/>
        <v>-2.615725032172032E-2</v>
      </c>
      <c r="J29">
        <f t="shared" si="12"/>
        <v>9.7539646951732291</v>
      </c>
      <c r="K29">
        <f t="shared" si="13"/>
        <v>-8.650801465037028E-2</v>
      </c>
      <c r="L29">
        <f t="shared" si="14"/>
        <v>7.1656095417184193E-2</v>
      </c>
      <c r="M29" s="268">
        <f t="shared" si="0"/>
        <v>0.41146709999653458</v>
      </c>
      <c r="N29">
        <f t="shared" si="15"/>
        <v>826.06489155045631</v>
      </c>
      <c r="O29">
        <f t="shared" si="16"/>
        <v>-1.4245348948205641</v>
      </c>
      <c r="P29" t="s">
        <v>88</v>
      </c>
      <c r="Q29">
        <f t="shared" si="1"/>
        <v>-23.493182485288049</v>
      </c>
      <c r="R29">
        <f t="shared" si="17"/>
        <v>0</v>
      </c>
      <c r="S29">
        <f t="shared" si="2"/>
        <v>8.0214226653245263E-2</v>
      </c>
      <c r="T29">
        <f t="shared" si="3"/>
        <v>-1.202159789722369</v>
      </c>
      <c r="U29">
        <f t="shared" si="18"/>
        <v>50.576401342922814</v>
      </c>
      <c r="V29">
        <f t="shared" si="19"/>
        <v>29.501480506242785</v>
      </c>
      <c r="W29">
        <f t="shared" si="20"/>
        <v>-50.576401342922814</v>
      </c>
      <c r="Y29">
        <f t="shared" si="21"/>
        <v>28.250088005305042</v>
      </c>
      <c r="Z29">
        <f t="shared" si="4"/>
        <v>-81.619837242330959</v>
      </c>
      <c r="AA29">
        <f t="shared" si="22"/>
        <v>22.326313337617769</v>
      </c>
      <c r="AB29">
        <f t="shared" si="23"/>
        <v>111.12131774857373</v>
      </c>
    </row>
    <row r="30" spans="1:28">
      <c r="A30">
        <v>374.97300224548371</v>
      </c>
      <c r="B30" s="270">
        <f t="shared" si="5"/>
        <v>0.37497300224548369</v>
      </c>
      <c r="C30" t="s">
        <v>49</v>
      </c>
      <c r="D30">
        <f t="shared" si="24"/>
        <v>1.1073316833999853E-3</v>
      </c>
      <c r="E30">
        <f t="shared" si="7"/>
        <v>4.4293213024394353E-2</v>
      </c>
      <c r="F30">
        <f t="shared" si="8"/>
        <v>2.5490472781414968E-3</v>
      </c>
      <c r="G30">
        <f t="shared" si="25"/>
        <v>4.4293213024394353E-2</v>
      </c>
      <c r="H30">
        <f t="shared" si="10"/>
        <v>144.10832901581094</v>
      </c>
      <c r="I30">
        <f t="shared" si="11"/>
        <v>-2.7420936548113034E-2</v>
      </c>
      <c r="J30">
        <f t="shared" si="12"/>
        <v>9.753924422433105</v>
      </c>
      <c r="K30">
        <f t="shared" si="13"/>
        <v>-9.0689361681598107E-2</v>
      </c>
      <c r="L30">
        <f t="shared" si="14"/>
        <v>7.2060961753438693E-2</v>
      </c>
      <c r="M30" s="268">
        <f t="shared" si="0"/>
        <v>0.43135304509618555</v>
      </c>
      <c r="N30">
        <f t="shared" si="15"/>
        <v>753.47517185476329</v>
      </c>
      <c r="O30">
        <f t="shared" si="16"/>
        <v>-1.4326878877546609</v>
      </c>
      <c r="P30">
        <f>P24+P26+P28</f>
        <v>9.5161354751357695E-3</v>
      </c>
      <c r="Q30">
        <f t="shared" si="1"/>
        <v>-23.493182485288049</v>
      </c>
      <c r="R30">
        <f t="shared" si="17"/>
        <v>0</v>
      </c>
      <c r="S30">
        <f t="shared" si="2"/>
        <v>7.3569373170414634E-2</v>
      </c>
      <c r="T30">
        <f t="shared" si="3"/>
        <v>-1.2107166855653546</v>
      </c>
      <c r="U30">
        <f t="shared" si="18"/>
        <v>49.801405707877429</v>
      </c>
      <c r="V30">
        <f t="shared" si="19"/>
        <v>28.544074403182918</v>
      </c>
      <c r="W30">
        <f t="shared" si="20"/>
        <v>-49.801405707877429</v>
      </c>
      <c r="Y30">
        <f t="shared" si="21"/>
        <v>27.850635820821225</v>
      </c>
      <c r="Z30">
        <f t="shared" si="4"/>
        <v>-82.086969327854689</v>
      </c>
      <c r="AA30">
        <f t="shared" si="22"/>
        <v>21.950769887056204</v>
      </c>
      <c r="AB30">
        <f t="shared" si="23"/>
        <v>110.63104373103762</v>
      </c>
    </row>
    <row r="31" spans="1:28">
      <c r="A31">
        <v>393.0972449074676</v>
      </c>
      <c r="B31" s="270">
        <f t="shared" si="5"/>
        <v>0.39309724490746761</v>
      </c>
      <c r="C31" s="107">
        <f>PS!B71</f>
        <v>4.8572569432070649</v>
      </c>
      <c r="D31">
        <f t="shared" si="24"/>
        <v>1.1608543317428268E-3</v>
      </c>
      <c r="E31">
        <f t="shared" si="7"/>
        <v>4.6434110695905112E-2</v>
      </c>
      <c r="F31">
        <f t="shared" si="8"/>
        <v>2.5539032385419676E-3</v>
      </c>
      <c r="G31">
        <f t="shared" si="25"/>
        <v>4.6434110695905112E-2</v>
      </c>
      <c r="H31">
        <f t="shared" si="10"/>
        <v>144.1190542209562</v>
      </c>
      <c r="I31">
        <f t="shared" si="11"/>
        <v>-2.8745608671779881E-2</v>
      </c>
      <c r="J31">
        <f t="shared" si="12"/>
        <v>9.7538801623796569</v>
      </c>
      <c r="K31">
        <f t="shared" si="13"/>
        <v>-9.5072813258470959E-2</v>
      </c>
      <c r="L31">
        <f t="shared" si="14"/>
        <v>7.2505911707294951E-2</v>
      </c>
      <c r="M31" s="268">
        <f t="shared" si="0"/>
        <v>0.45219983366192529</v>
      </c>
      <c r="N31">
        <f t="shared" si="15"/>
        <v>687.12605890789393</v>
      </c>
      <c r="O31">
        <f t="shared" si="16"/>
        <v>-1.4405547671634107</v>
      </c>
      <c r="P31">
        <f>P30^2</f>
        <v>9.0556834381137484E-5</v>
      </c>
      <c r="Q31">
        <f t="shared" si="1"/>
        <v>-23.493182485288049</v>
      </c>
      <c r="R31">
        <f t="shared" si="17"/>
        <v>0</v>
      </c>
      <c r="S31">
        <f t="shared" si="2"/>
        <v>6.7439155313250287E-2</v>
      </c>
      <c r="T31">
        <f t="shared" si="3"/>
        <v>-1.2185902092753573</v>
      </c>
      <c r="U31">
        <f t="shared" si="18"/>
        <v>49.023231100916824</v>
      </c>
      <c r="V31">
        <f t="shared" si="19"/>
        <v>27.642215736643863</v>
      </c>
      <c r="W31">
        <f t="shared" si="20"/>
        <v>-49.023231100916824</v>
      </c>
      <c r="Y31">
        <f t="shared" si="21"/>
        <v>27.450310551065698</v>
      </c>
      <c r="Z31">
        <f t="shared" si="4"/>
        <v>-82.537708315914415</v>
      </c>
      <c r="AA31">
        <f t="shared" si="22"/>
        <v>21.572920549851126</v>
      </c>
      <c r="AB31">
        <f t="shared" si="23"/>
        <v>110.17992405255828</v>
      </c>
    </row>
    <row r="32" spans="1:28">
      <c r="A32">
        <v>412.09751909733052</v>
      </c>
      <c r="B32" s="270">
        <f t="shared" si="5"/>
        <v>0.4120975190973305</v>
      </c>
      <c r="C32" t="s">
        <v>52</v>
      </c>
      <c r="D32">
        <f t="shared" si="24"/>
        <v>1.2169639862452278E-3</v>
      </c>
      <c r="E32">
        <f t="shared" si="7"/>
        <v>4.8678487356903936E-2</v>
      </c>
      <c r="F32">
        <f t="shared" si="8"/>
        <v>2.5592399660182459E-3</v>
      </c>
      <c r="G32">
        <f t="shared" si="25"/>
        <v>4.8678487356903936E-2</v>
      </c>
      <c r="H32">
        <f t="shared" si="10"/>
        <v>144.13084128403995</v>
      </c>
      <c r="I32">
        <f t="shared" si="11"/>
        <v>-3.0134200132217293E-2</v>
      </c>
      <c r="J32">
        <f t="shared" si="12"/>
        <v>9.7538315202296033</v>
      </c>
      <c r="K32">
        <f t="shared" si="13"/>
        <v>-9.9668138062484271E-2</v>
      </c>
      <c r="L32">
        <f t="shared" si="14"/>
        <v>7.2994913684169244E-2</v>
      </c>
      <c r="M32" s="268">
        <f t="shared" si="0"/>
        <v>0.47405385620376028</v>
      </c>
      <c r="N32">
        <f t="shared" si="15"/>
        <v>626.50515444141092</v>
      </c>
      <c r="O32">
        <f t="shared" si="16"/>
        <v>-1.4481502417900443</v>
      </c>
      <c r="P32">
        <f>P33</f>
        <v>18.858189694904056</v>
      </c>
      <c r="Q32">
        <f t="shared" si="1"/>
        <v>-23.493182485288049</v>
      </c>
      <c r="R32">
        <f t="shared" si="17"/>
        <v>0</v>
      </c>
      <c r="S32">
        <f t="shared" si="2"/>
        <v>6.1790267476934529E-2</v>
      </c>
      <c r="T32">
        <f t="shared" si="3"/>
        <v>-1.2257846112370456</v>
      </c>
      <c r="U32">
        <f t="shared" si="18"/>
        <v>48.242192924006268</v>
      </c>
      <c r="V32">
        <f t="shared" si="19"/>
        <v>26.794818228613678</v>
      </c>
      <c r="W32">
        <f t="shared" si="20"/>
        <v>-48.242192924006268</v>
      </c>
      <c r="Y32">
        <f t="shared" si="21"/>
        <v>27.049192842677702</v>
      </c>
      <c r="Z32">
        <f t="shared" si="4"/>
        <v>-82.97289695541923</v>
      </c>
      <c r="AA32">
        <f t="shared" si="22"/>
        <v>21.19300008132857</v>
      </c>
      <c r="AB32">
        <f t="shared" si="23"/>
        <v>109.76771518403289</v>
      </c>
    </row>
    <row r="33" spans="1:28">
      <c r="A33">
        <v>432.0161676181425</v>
      </c>
      <c r="B33" s="270">
        <f t="shared" si="5"/>
        <v>0.43201616761814249</v>
      </c>
      <c r="C33">
        <f>C34^2</f>
        <v>7.7045059965505475E-7</v>
      </c>
      <c r="D33">
        <f t="shared" si="24"/>
        <v>1.2757856893159027E-3</v>
      </c>
      <c r="E33">
        <f t="shared" si="7"/>
        <v>5.1031344512533501E-2</v>
      </c>
      <c r="F33">
        <f t="shared" si="8"/>
        <v>2.5651050590356399E-3</v>
      </c>
      <c r="G33">
        <f t="shared" si="25"/>
        <v>5.1031344512533501E-2</v>
      </c>
      <c r="H33">
        <f t="shared" si="10"/>
        <v>144.14379533519875</v>
      </c>
      <c r="I33">
        <f t="shared" si="11"/>
        <v>-3.1589783984822192E-2</v>
      </c>
      <c r="J33">
        <f t="shared" si="12"/>
        <v>9.7537780621104986</v>
      </c>
      <c r="K33">
        <f t="shared" si="13"/>
        <v>-0.10448557694233712</v>
      </c>
      <c r="L33">
        <f t="shared" si="14"/>
        <v>7.3532328962594054E-2</v>
      </c>
      <c r="M33" s="268">
        <f t="shared" si="0"/>
        <v>0.49696373764828899</v>
      </c>
      <c r="N33">
        <f t="shared" si="15"/>
        <v>571.1380387311865</v>
      </c>
      <c r="O33">
        <f t="shared" si="16"/>
        <v>-1.455488767744153</v>
      </c>
      <c r="P33">
        <f>LOOKUP(0,W2:W144,B2:B144)</f>
        <v>18.858189694904056</v>
      </c>
      <c r="Q33">
        <f t="shared" si="1"/>
        <v>-23.493182485288049</v>
      </c>
      <c r="R33">
        <f t="shared" si="17"/>
        <v>0</v>
      </c>
      <c r="S33">
        <f t="shared" si="2"/>
        <v>5.6590474572033124E-2</v>
      </c>
      <c r="T33">
        <f t="shared" si="3"/>
        <v>-1.2323043373526699</v>
      </c>
      <c r="U33">
        <f t="shared" si="18"/>
        <v>47.45858990631563</v>
      </c>
      <c r="V33">
        <f t="shared" si="19"/>
        <v>26.000798873589531</v>
      </c>
      <c r="W33">
        <f t="shared" si="20"/>
        <v>-47.45858990631563</v>
      </c>
      <c r="Y33">
        <f t="shared" si="21"/>
        <v>26.647357217086306</v>
      </c>
      <c r="Z33">
        <f t="shared" si="4"/>
        <v>-83.393363520436878</v>
      </c>
      <c r="AA33">
        <f t="shared" si="22"/>
        <v>20.811232689229321</v>
      </c>
      <c r="AB33">
        <f t="shared" si="23"/>
        <v>109.39416239402641</v>
      </c>
    </row>
    <row r="34" spans="1:28">
      <c r="A34">
        <v>452.89757990362125</v>
      </c>
      <c r="B34" s="270">
        <f t="shared" si="5"/>
        <v>0.45289757990362123</v>
      </c>
      <c r="C34">
        <f>C42*PI()*Main!C20*2*10^-6</f>
        <v>8.7775315416981255E-4</v>
      </c>
      <c r="D34">
        <f t="shared" si="24"/>
        <v>1.3374505272625839E-3</v>
      </c>
      <c r="E34">
        <f t="shared" si="7"/>
        <v>5.3497925394810034E-2</v>
      </c>
      <c r="F34">
        <f t="shared" si="8"/>
        <v>2.571550828526743E-3</v>
      </c>
      <c r="G34">
        <f t="shared" si="25"/>
        <v>5.3497925394810034E-2</v>
      </c>
      <c r="H34">
        <f t="shared" si="10"/>
        <v>144.15803191306659</v>
      </c>
      <c r="I34">
        <f t="shared" si="11"/>
        <v>-3.3115579320031126E-2</v>
      </c>
      <c r="J34">
        <f t="shared" si="12"/>
        <v>9.7537193111899647</v>
      </c>
      <c r="K34">
        <f t="shared" si="13"/>
        <v>-0.10953586573603696</v>
      </c>
      <c r="L34">
        <f t="shared" si="14"/>
        <v>7.4122950586338623E-2</v>
      </c>
      <c r="M34" s="268">
        <f t="shared" ref="M34:M65" si="26">J34*G34+K34*F34+($C$55+$C$65)*B34*1000</f>
        <v>0.52098044414313349</v>
      </c>
      <c r="N34">
        <f t="shared" si="15"/>
        <v>520.58616477449345</v>
      </c>
      <c r="O34">
        <f t="shared" si="16"/>
        <v>-1.4625845364747752</v>
      </c>
      <c r="P34">
        <f>LOOKUP(0,W2:W144,V2:V144)</f>
        <v>43.862125877544486</v>
      </c>
      <c r="Q34">
        <f t="shared" ref="Q34:Q66" si="27">$P$4+10*LOG((1+($P$6*B34)^2)/(1+($P$8*B34)^2))</f>
        <v>-23.493182485288049</v>
      </c>
      <c r="R34">
        <f t="shared" si="17"/>
        <v>0</v>
      </c>
      <c r="S34">
        <f t="shared" ref="S34:S82" si="28">((1+($P$24*B34*1000)^2)/((1-$P$28*B34*1000*$P$24*B34*1000)^2+$P$31*(B34*1000)^2))/(1+(B34/fea)^2)</f>
        <v>5.1808777463814785E-2</v>
      </c>
      <c r="T34">
        <f t="shared" ref="T34:T82" si="29">ATAN(B34*1000*$P$24)-ATAN2(1-$P$24*B34*1000*$P$28*B34*1000,B34*1000*$P$30)-ATAN(B34/fea)</f>
        <v>-1.2381538851330665</v>
      </c>
      <c r="U34">
        <f t="shared" si="18"/>
        <v>46.672705351344185</v>
      </c>
      <c r="V34">
        <f t="shared" si="19"/>
        <v>25.259086873047153</v>
      </c>
      <c r="W34">
        <f t="shared" si="20"/>
        <v>-46.672705351344185</v>
      </c>
      <c r="Y34">
        <f t="shared" si="21"/>
        <v>26.244872578649854</v>
      </c>
      <c r="Z34">
        <f t="shared" ref="Z34:Z82" si="30">DEGREES(O34)</f>
        <v>-83.799921121102429</v>
      </c>
      <c r="AA34">
        <f t="shared" si="22"/>
        <v>20.42783277269433</v>
      </c>
      <c r="AB34">
        <f t="shared" si="23"/>
        <v>109.05900799414957</v>
      </c>
    </row>
    <row r="35" spans="1:28">
      <c r="A35">
        <v>474.78829094159755</v>
      </c>
      <c r="B35" s="270">
        <f t="shared" si="5"/>
        <v>0.47478829094159758</v>
      </c>
      <c r="C35" t="s">
        <v>50</v>
      </c>
      <c r="D35">
        <f t="shared" si="24"/>
        <v>1.4020959224226217E-3</v>
      </c>
      <c r="E35">
        <f t="shared" si="7"/>
        <v>5.6083726643422288E-2</v>
      </c>
      <c r="F35">
        <f t="shared" si="8"/>
        <v>2.5786347644410072E-3</v>
      </c>
      <c r="G35">
        <f t="shared" si="25"/>
        <v>5.6083726643422288E-2</v>
      </c>
      <c r="H35">
        <f t="shared" si="10"/>
        <v>144.17367799527688</v>
      </c>
      <c r="I35">
        <f t="shared" si="11"/>
        <v>-3.4714957942955461E-2</v>
      </c>
      <c r="J35">
        <f t="shared" si="12"/>
        <v>9.753654743421615</v>
      </c>
      <c r="K35">
        <f t="shared" si="13"/>
        <v>-0.11483025919610451</v>
      </c>
      <c r="L35">
        <f t="shared" si="14"/>
        <v>7.4772046106117901E-2</v>
      </c>
      <c r="M35" s="268">
        <f t="shared" si="26"/>
        <v>0.5461573948418339</v>
      </c>
      <c r="N35">
        <f t="shared" si="15"/>
        <v>474.44473761656457</v>
      </c>
      <c r="O35">
        <f t="shared" si="16"/>
        <v>-1.469451467248879</v>
      </c>
      <c r="Q35">
        <f t="shared" si="27"/>
        <v>-23.493182485288049</v>
      </c>
      <c r="R35">
        <f t="shared" si="17"/>
        <v>0</v>
      </c>
      <c r="S35">
        <f t="shared" si="28"/>
        <v>4.7415533472592419E-2</v>
      </c>
      <c r="T35">
        <f t="shared" si="29"/>
        <v>-1.2433376760502839</v>
      </c>
      <c r="U35">
        <f t="shared" si="18"/>
        <v>45.884808439225424</v>
      </c>
      <c r="V35">
        <f t="shared" si="19"/>
        <v>24.568631380047691</v>
      </c>
      <c r="W35">
        <f t="shared" si="20"/>
        <v>-45.884808439225424</v>
      </c>
      <c r="Y35">
        <f t="shared" si="21"/>
        <v>25.841802698029767</v>
      </c>
      <c r="Z35">
        <f t="shared" si="30"/>
        <v>-84.193367272667075</v>
      </c>
      <c r="AA35">
        <f t="shared" si="22"/>
        <v>20.043005741195664</v>
      </c>
      <c r="AB35">
        <f t="shared" si="23"/>
        <v>108.76199865271475</v>
      </c>
    </row>
    <row r="36" spans="1:28">
      <c r="A36">
        <v>497.73708497893625</v>
      </c>
      <c r="B36" s="270">
        <f t="shared" si="5"/>
        <v>0.49773708497893626</v>
      </c>
      <c r="C36">
        <f>1-PS!B67</f>
        <v>5.9886216189240393E-2</v>
      </c>
      <c r="D36">
        <f t="shared" si="24"/>
        <v>1.4698659394136832E-3</v>
      </c>
      <c r="E36">
        <f t="shared" si="7"/>
        <v>5.8794510550661594E-2</v>
      </c>
      <c r="F36">
        <f t="shared" si="8"/>
        <v>2.5864200484829159E-3</v>
      </c>
      <c r="G36">
        <f t="shared" si="25"/>
        <v>5.8794510550661594E-2</v>
      </c>
      <c r="H36">
        <f t="shared" si="10"/>
        <v>144.19087313099021</v>
      </c>
      <c r="I36">
        <f t="shared" si="11"/>
        <v>-3.639145131861387E-2</v>
      </c>
      <c r="J36">
        <f t="shared" si="12"/>
        <v>9.7535837828695371</v>
      </c>
      <c r="K36">
        <f t="shared" si="13"/>
        <v>-0.12038055607120116</v>
      </c>
      <c r="L36">
        <f t="shared" si="14"/>
        <v>7.5485404551822705E-2</v>
      </c>
      <c r="M36" s="268">
        <f t="shared" si="26"/>
        <v>0.5725505788822719</v>
      </c>
      <c r="N36">
        <f t="shared" si="15"/>
        <v>432.340610273869</v>
      </c>
      <c r="O36">
        <f t="shared" si="16"/>
        <v>-1.4761032035506176</v>
      </c>
      <c r="P36" t="s">
        <v>217</v>
      </c>
      <c r="Q36">
        <f t="shared" si="27"/>
        <v>-23.493182485288049</v>
      </c>
      <c r="R36">
        <f t="shared" si="17"/>
        <v>0</v>
      </c>
      <c r="S36">
        <f t="shared" si="28"/>
        <v>4.3382538093486016E-2</v>
      </c>
      <c r="T36">
        <f t="shared" si="29"/>
        <v>-1.2478599437034115</v>
      </c>
      <c r="U36">
        <f t="shared" si="18"/>
        <v>45.09515556854813</v>
      </c>
      <c r="V36">
        <f t="shared" si="19"/>
        <v>23.928408113171372</v>
      </c>
      <c r="W36">
        <f t="shared" si="20"/>
        <v>-45.09515556854813</v>
      </c>
      <c r="Y36">
        <f t="shared" si="21"/>
        <v>25.43820667108054</v>
      </c>
      <c r="Z36">
        <f t="shared" si="30"/>
        <v>-84.574483689190657</v>
      </c>
      <c r="AA36">
        <f t="shared" si="22"/>
        <v>19.656948897467593</v>
      </c>
      <c r="AB36">
        <f t="shared" si="23"/>
        <v>108.50289180236202</v>
      </c>
    </row>
    <row r="37" spans="1:28">
      <c r="A37">
        <v>521.79510423900308</v>
      </c>
      <c r="B37" s="270">
        <f t="shared" si="5"/>
        <v>0.5217951042390031</v>
      </c>
      <c r="C37" t="s">
        <v>56</v>
      </c>
      <c r="D37">
        <f t="shared" si="24"/>
        <v>1.54091160618699E-3</v>
      </c>
      <c r="E37">
        <f t="shared" si="7"/>
        <v>6.1636317897677678E-2</v>
      </c>
      <c r="F37">
        <f t="shared" si="8"/>
        <v>2.5949761176111627E-3</v>
      </c>
      <c r="G37">
        <f t="shared" si="25"/>
        <v>6.1636317897677678E-2</v>
      </c>
      <c r="H37">
        <f t="shared" si="10"/>
        <v>144.20977068554902</v>
      </c>
      <c r="I37">
        <f t="shared" si="11"/>
        <v>-3.814875778698916E-2</v>
      </c>
      <c r="J37">
        <f t="shared" si="12"/>
        <v>9.7535057965697423</v>
      </c>
      <c r="K37">
        <f t="shared" si="13"/>
        <v>-0.12619912540006897</v>
      </c>
      <c r="L37">
        <f t="shared" si="14"/>
        <v>7.6269388053876397E-2</v>
      </c>
      <c r="M37" s="268">
        <f t="shared" si="26"/>
        <v>0.60021867777774862</v>
      </c>
      <c r="N37">
        <f t="shared" si="15"/>
        <v>393.93022085501769</v>
      </c>
      <c r="O37">
        <f t="shared" si="16"/>
        <v>-1.4825531128735492</v>
      </c>
      <c r="P37">
        <f>20*LOG(PS!B76*PS!B81*1000)</f>
        <v>56.776981814745106</v>
      </c>
      <c r="Q37">
        <f t="shared" si="27"/>
        <v>-23.493182485288049</v>
      </c>
      <c r="R37">
        <f t="shared" si="17"/>
        <v>0</v>
      </c>
      <c r="S37">
        <f t="shared" si="28"/>
        <v>3.9683073751200858E-2</v>
      </c>
      <c r="T37">
        <f t="shared" si="29"/>
        <v>-1.251724637254676</v>
      </c>
      <c r="U37">
        <f t="shared" si="18"/>
        <v>44.303991724827981</v>
      </c>
      <c r="V37">
        <f t="shared" si="19"/>
        <v>23.337424901126411</v>
      </c>
      <c r="W37">
        <f t="shared" si="20"/>
        <v>-44.303991724827981</v>
      </c>
      <c r="Y37">
        <f t="shared" si="21"/>
        <v>25.034139353925408</v>
      </c>
      <c r="Z37">
        <f t="shared" si="30"/>
        <v>-84.944036271636719</v>
      </c>
      <c r="AA37">
        <f t="shared" si="22"/>
        <v>19.269852370902569</v>
      </c>
      <c r="AB37">
        <f t="shared" si="23"/>
        <v>108.28146117276313</v>
      </c>
    </row>
    <row r="38" spans="1:28">
      <c r="A38">
        <v>547.01596289397207</v>
      </c>
      <c r="B38" s="270">
        <f t="shared" si="5"/>
        <v>0.54701596289397203</v>
      </c>
      <c r="C38" s="107">
        <f>C31*PS!B66*PS!B6*10^-3*C50</f>
        <v>3.0468756305228795E-4</v>
      </c>
      <c r="D38">
        <f t="shared" si="24"/>
        <v>1.6153912505986064E-3</v>
      </c>
      <c r="E38">
        <f t="shared" si="7"/>
        <v>6.4615481410563252E-2</v>
      </c>
      <c r="F38">
        <f t="shared" si="8"/>
        <v>2.6043792833238409E-3</v>
      </c>
      <c r="G38">
        <f t="shared" si="25"/>
        <v>6.4615481410563252E-2</v>
      </c>
      <c r="H38">
        <f t="shared" si="10"/>
        <v>144.23053920836014</v>
      </c>
      <c r="I38">
        <f t="shared" si="11"/>
        <v>-3.9990750051060231E-2</v>
      </c>
      <c r="J38">
        <f t="shared" si="12"/>
        <v>9.7534200888825779</v>
      </c>
      <c r="K38">
        <f t="shared" si="13"/>
        <v>-0.13229893407638413</v>
      </c>
      <c r="L38">
        <f t="shared" si="14"/>
        <v>7.713098857371864E-2</v>
      </c>
      <c r="M38" s="268">
        <f t="shared" si="26"/>
        <v>0.62922319344560929</v>
      </c>
      <c r="N38">
        <f t="shared" si="15"/>
        <v>358.89758967941265</v>
      </c>
      <c r="O38">
        <f t="shared" si="16"/>
        <v>-1.4888142894314278</v>
      </c>
      <c r="Q38">
        <f t="shared" si="27"/>
        <v>-23.493182485288049</v>
      </c>
      <c r="R38">
        <f t="shared" si="17"/>
        <v>0</v>
      </c>
      <c r="S38">
        <f t="shared" si="28"/>
        <v>3.6291930963156922E-2</v>
      </c>
      <c r="T38">
        <f t="shared" si="29"/>
        <v>-1.2549353395510527</v>
      </c>
      <c r="U38">
        <f t="shared" si="18"/>
        <v>43.511551865282598</v>
      </c>
      <c r="V38">
        <f t="shared" si="19"/>
        <v>22.794726218718381</v>
      </c>
      <c r="W38">
        <f t="shared" si="20"/>
        <v>-43.511551865282598</v>
      </c>
      <c r="Y38">
        <f t="shared" si="21"/>
        <v>24.629651775193963</v>
      </c>
      <c r="Z38">
        <f t="shared" si="30"/>
        <v>-85.302775263189417</v>
      </c>
      <c r="AA38">
        <f t="shared" si="22"/>
        <v>18.881900090088628</v>
      </c>
      <c r="AB38">
        <f t="shared" si="23"/>
        <v>108.09750148190778</v>
      </c>
    </row>
    <row r="39" spans="1:28">
      <c r="A39">
        <v>573.45586654596502</v>
      </c>
      <c r="B39" s="270">
        <f t="shared" si="5"/>
        <v>0.57345586654596503</v>
      </c>
      <c r="C39" t="s">
        <v>61</v>
      </c>
      <c r="D39">
        <f t="shared" si="24"/>
        <v>1.6934708532488462E-3</v>
      </c>
      <c r="E39">
        <f t="shared" si="7"/>
        <v>6.7738639866133724E-2</v>
      </c>
      <c r="F39">
        <f t="shared" si="8"/>
        <v>2.614713412252018E-3</v>
      </c>
      <c r="G39">
        <f t="shared" si="25"/>
        <v>6.7738639866133724E-2</v>
      </c>
      <c r="H39">
        <f t="shared" si="10"/>
        <v>144.25336393620594</v>
      </c>
      <c r="I39">
        <f t="shared" si="11"/>
        <v>-4.1921482939640847E-2</v>
      </c>
      <c r="J39">
        <f t="shared" si="12"/>
        <v>9.7533258952856876</v>
      </c>
      <c r="K39">
        <f t="shared" si="13"/>
        <v>-0.13869357574595267</v>
      </c>
      <c r="L39">
        <f t="shared" si="14"/>
        <v>7.8077890248898163E-2</v>
      </c>
      <c r="M39" s="268">
        <f t="shared" si="26"/>
        <v>0.65962858210357223</v>
      </c>
      <c r="N39">
        <f t="shared" si="15"/>
        <v>326.95239032746156</v>
      </c>
      <c r="O39">
        <f t="shared" si="16"/>
        <v>-1.4948995593627388</v>
      </c>
      <c r="Q39">
        <f t="shared" si="27"/>
        <v>-23.493182485288049</v>
      </c>
      <c r="R39">
        <f t="shared" si="17"/>
        <v>0</v>
      </c>
      <c r="S39">
        <f t="shared" si="28"/>
        <v>3.3185406784865812E-2</v>
      </c>
      <c r="T39">
        <f t="shared" si="29"/>
        <v>-1.2574951993485466</v>
      </c>
      <c r="U39">
        <f t="shared" si="18"/>
        <v>42.718062311777658</v>
      </c>
      <c r="V39">
        <f t="shared" si="19"/>
        <v>22.299396771914758</v>
      </c>
      <c r="W39">
        <f t="shared" si="20"/>
        <v>-42.718062311777658</v>
      </c>
      <c r="Y39">
        <f t="shared" si="21"/>
        <v>24.224791526638295</v>
      </c>
      <c r="Z39">
        <f t="shared" si="30"/>
        <v>-85.651435547451399</v>
      </c>
      <c r="AA39">
        <f t="shared" si="22"/>
        <v>18.493270785139366</v>
      </c>
      <c r="AB39">
        <f t="shared" si="23"/>
        <v>107.95083231936617</v>
      </c>
    </row>
    <row r="40" spans="1:28">
      <c r="A40">
        <v>601.17373748327816</v>
      </c>
      <c r="B40" s="270">
        <f t="shared" si="5"/>
        <v>0.60117373748327818</v>
      </c>
      <c r="C40" s="13">
        <f>Main!C75^2</f>
        <v>144</v>
      </c>
      <c r="D40">
        <f t="shared" si="24"/>
        <v>1.7753244173760706E-3</v>
      </c>
      <c r="E40">
        <f t="shared" si="7"/>
        <v>7.1012752878696725E-2</v>
      </c>
      <c r="F40">
        <f t="shared" si="8"/>
        <v>2.6260706741306431E-3</v>
      </c>
      <c r="G40">
        <f t="shared" si="25"/>
        <v>7.1012752878696725E-2</v>
      </c>
      <c r="H40">
        <f t="shared" si="10"/>
        <v>144.27844844539194</v>
      </c>
      <c r="I40">
        <f t="shared" si="11"/>
        <v>-4.3945201445258632E-2</v>
      </c>
      <c r="J40">
        <f t="shared" si="12"/>
        <v>9.7532223755520917</v>
      </c>
      <c r="K40">
        <f t="shared" si="13"/>
        <v>-0.14539730110064422</v>
      </c>
      <c r="L40">
        <f t="shared" si="14"/>
        <v>7.9118537908229994E-2</v>
      </c>
      <c r="M40" s="268">
        <f t="shared" si="26"/>
        <v>0.69150239426859517</v>
      </c>
      <c r="N40">
        <f t="shared" si="15"/>
        <v>297.82810451425343</v>
      </c>
      <c r="O40">
        <f t="shared" si="16"/>
        <v>-1.5008214880495501</v>
      </c>
      <c r="Q40">
        <f t="shared" si="27"/>
        <v>-23.493182485288049</v>
      </c>
      <c r="R40">
        <f t="shared" si="17"/>
        <v>0</v>
      </c>
      <c r="S40">
        <f t="shared" si="28"/>
        <v>3.0341284887794587E-2</v>
      </c>
      <c r="T40">
        <f t="shared" si="29"/>
        <v>-1.2594068770938629</v>
      </c>
      <c r="U40">
        <f t="shared" si="18"/>
        <v>41.923742145707962</v>
      </c>
      <c r="V40">
        <f t="shared" si="19"/>
        <v>21.85056418498732</v>
      </c>
      <c r="W40">
        <f t="shared" si="20"/>
        <v>-41.923742145707962</v>
      </c>
      <c r="Y40">
        <f t="shared" si="21"/>
        <v>23.819603133529075</v>
      </c>
      <c r="Z40">
        <f t="shared" si="30"/>
        <v>-85.990737067783144</v>
      </c>
      <c r="AA40">
        <f t="shared" si="22"/>
        <v>18.104139012178884</v>
      </c>
      <c r="AB40">
        <f t="shared" si="23"/>
        <v>107.84130125277046</v>
      </c>
    </row>
    <row r="41" spans="1:28">
      <c r="A41">
        <v>630.23134599085176</v>
      </c>
      <c r="B41" s="270">
        <f t="shared" si="5"/>
        <v>0.63023134599085173</v>
      </c>
      <c r="C41">
        <f>Main!C75/C34</f>
        <v>13671.269585296695</v>
      </c>
      <c r="D41">
        <f t="shared" si="24"/>
        <v>1.8611343566292547E-3</v>
      </c>
      <c r="E41">
        <f t="shared" si="7"/>
        <v>7.4445116400605721E-2</v>
      </c>
      <c r="F41">
        <f t="shared" si="8"/>
        <v>2.6385523638164316E-3</v>
      </c>
      <c r="G41">
        <f t="shared" si="25"/>
        <v>7.4445116400605721E-2</v>
      </c>
      <c r="H41">
        <f t="shared" si="10"/>
        <v>144.30601646746666</v>
      </c>
      <c r="I41">
        <f t="shared" si="11"/>
        <v>-4.6066349035391044E-2</v>
      </c>
      <c r="J41">
        <f t="shared" si="12"/>
        <v>9.7531086062523897</v>
      </c>
      <c r="K41">
        <f t="shared" si="13"/>
        <v>-0.1524250496365786</v>
      </c>
      <c r="L41">
        <f t="shared" si="14"/>
        <v>8.0262212367377156E-2</v>
      </c>
      <c r="M41" s="268">
        <f t="shared" si="26"/>
        <v>0.72491542109706142</v>
      </c>
      <c r="N41">
        <f t="shared" si="15"/>
        <v>271.28026735590998</v>
      </c>
      <c r="O41">
        <f t="shared" si="16"/>
        <v>-1.5065923892124264</v>
      </c>
      <c r="Q41">
        <f t="shared" si="27"/>
        <v>-23.493182485288049</v>
      </c>
      <c r="R41">
        <f t="shared" si="17"/>
        <v>0</v>
      </c>
      <c r="S41">
        <f t="shared" si="28"/>
        <v>2.7738801096859923E-2</v>
      </c>
      <c r="T41">
        <f t="shared" si="29"/>
        <v>-1.2606725037840749</v>
      </c>
      <c r="U41">
        <f t="shared" si="18"/>
        <v>41.128804600148207</v>
      </c>
      <c r="V41">
        <f t="shared" si="19"/>
        <v>21.447400836579106</v>
      </c>
      <c r="W41">
        <f t="shared" si="20"/>
        <v>-41.128804600148207</v>
      </c>
      <c r="Y41">
        <f t="shared" si="21"/>
        <v>23.414128406371852</v>
      </c>
      <c r="Z41">
        <f t="shared" si="30"/>
        <v>-86.321385348403098</v>
      </c>
      <c r="AA41">
        <f t="shared" si="22"/>
        <v>17.714676193776349</v>
      </c>
      <c r="AB41">
        <f t="shared" si="23"/>
        <v>107.7687861849822</v>
      </c>
    </row>
    <row r="42" spans="1:28">
      <c r="A42">
        <v>660.693448007597</v>
      </c>
      <c r="B42" s="270">
        <f t="shared" si="5"/>
        <v>0.660693448007597</v>
      </c>
      <c r="C42">
        <f>(Main!G75/C36+(1-C36)*C36*PS!B6/2/Main!C20/fs*1000)</f>
        <v>13.969875330062816</v>
      </c>
      <c r="D42">
        <f t="shared" si="24"/>
        <v>1.9510919015834423E-3</v>
      </c>
      <c r="E42">
        <f t="shared" si="7"/>
        <v>7.804337897095491E-2</v>
      </c>
      <c r="F42">
        <f t="shared" si="8"/>
        <v>2.6522698046824375E-3</v>
      </c>
      <c r="G42">
        <f t="shared" si="25"/>
        <v>7.804337897095491E-2</v>
      </c>
      <c r="H42">
        <f t="shared" si="10"/>
        <v>144.33631388470837</v>
      </c>
      <c r="I42">
        <f t="shared" si="11"/>
        <v>-4.8289576233080868E-2</v>
      </c>
      <c r="J42">
        <f t="shared" si="12"/>
        <v>9.7529835725141147</v>
      </c>
      <c r="K42">
        <f t="shared" si="13"/>
        <v>-0.15979248294733669</v>
      </c>
      <c r="L42">
        <f t="shared" si="14"/>
        <v>8.1519113175540225E-2</v>
      </c>
      <c r="M42" s="268">
        <f t="shared" si="26"/>
        <v>0.75994184730803771</v>
      </c>
      <c r="N42">
        <f t="shared" si="15"/>
        <v>247.08480689650042</v>
      </c>
      <c r="O42">
        <f t="shared" si="16"/>
        <v>-1.5122243354800284</v>
      </c>
      <c r="Q42">
        <f t="shared" si="27"/>
        <v>-23.493182485288049</v>
      </c>
      <c r="R42">
        <f t="shared" si="17"/>
        <v>0</v>
      </c>
      <c r="S42">
        <f t="shared" si="28"/>
        <v>2.5358597709984072E-2</v>
      </c>
      <c r="T42">
        <f t="shared" si="29"/>
        <v>-1.2612936525126399</v>
      </c>
      <c r="U42">
        <f t="shared" si="18"/>
        <v>40.333458445857694</v>
      </c>
      <c r="V42">
        <f t="shared" si="19"/>
        <v>21.089124884404384</v>
      </c>
      <c r="W42">
        <f t="shared" si="20"/>
        <v>-40.333458445857694</v>
      </c>
      <c r="Y42">
        <f t="shared" si="21"/>
        <v>23.008406775586884</v>
      </c>
      <c r="Z42">
        <f t="shared" si="30"/>
        <v>-86.644072099981145</v>
      </c>
      <c r="AA42">
        <f t="shared" si="22"/>
        <v>17.32505167027081</v>
      </c>
      <c r="AB42">
        <f t="shared" si="23"/>
        <v>107.73319698438551</v>
      </c>
    </row>
    <row r="43" spans="1:28">
      <c r="A43">
        <v>692.62792943736383</v>
      </c>
      <c r="B43" s="270">
        <f t="shared" si="5"/>
        <v>0.69262792943736384</v>
      </c>
      <c r="C43" t="s">
        <v>59</v>
      </c>
      <c r="D43">
        <f t="shared" si="24"/>
        <v>2.0453975259040399E-3</v>
      </c>
      <c r="E43">
        <f t="shared" si="7"/>
        <v>8.1815558748414258E-2</v>
      </c>
      <c r="F43">
        <f t="shared" si="8"/>
        <v>2.6673453414444632E-3</v>
      </c>
      <c r="G43">
        <f t="shared" si="25"/>
        <v>8.1815558748414258E-2</v>
      </c>
      <c r="H43">
        <f t="shared" si="10"/>
        <v>144.36961092317674</v>
      </c>
      <c r="I43">
        <f t="shared" si="11"/>
        <v>-5.0619749460235744E-2</v>
      </c>
      <c r="J43">
        <f t="shared" si="12"/>
        <v>9.7528461589645534</v>
      </c>
      <c r="K43">
        <f t="shared" si="13"/>
        <v>-0.16751601962639182</v>
      </c>
      <c r="L43">
        <f t="shared" si="14"/>
        <v>8.2900449550210545E-2</v>
      </c>
      <c r="M43" s="268">
        <f t="shared" si="26"/>
        <v>0.79665941093319781</v>
      </c>
      <c r="N43">
        <f t="shared" si="15"/>
        <v>225.0364795938373</v>
      </c>
      <c r="O43">
        <f t="shared" si="16"/>
        <v>-1.5177291701646956</v>
      </c>
      <c r="Q43">
        <f t="shared" si="27"/>
        <v>-23.493182485288049</v>
      </c>
      <c r="R43">
        <f t="shared" si="17"/>
        <v>0</v>
      </c>
      <c r="S43">
        <f t="shared" si="28"/>
        <v>2.3182669447872627E-2</v>
      </c>
      <c r="T43">
        <f t="shared" si="29"/>
        <v>-1.261271322413964</v>
      </c>
      <c r="U43">
        <f t="shared" si="18"/>
        <v>39.537909368651697</v>
      </c>
      <c r="V43">
        <f t="shared" si="19"/>
        <v>20.775000510465958</v>
      </c>
      <c r="W43">
        <f t="shared" si="20"/>
        <v>-39.537909368651697</v>
      </c>
      <c r="Y43">
        <f t="shared" si="21"/>
        <v>22.602475610869284</v>
      </c>
      <c r="Z43">
        <f t="shared" si="30"/>
        <v>-86.959475894329799</v>
      </c>
      <c r="AA43">
        <f t="shared" si="22"/>
        <v>16.935433757782413</v>
      </c>
      <c r="AB43">
        <f t="shared" si="23"/>
        <v>107.73447640479576</v>
      </c>
    </row>
    <row r="44" spans="1:28">
      <c r="A44">
        <v>726.10595743515478</v>
      </c>
      <c r="B44" s="270">
        <f t="shared" si="5"/>
        <v>0.72610595743515483</v>
      </c>
      <c r="C44">
        <f>C36*(C36+C31*PS!B66*0.001*C42)-C54*Main!C75</f>
        <v>4.3180824037228338E-2</v>
      </c>
      <c r="D44">
        <f t="shared" si="24"/>
        <v>2.1442613931097012E-3</v>
      </c>
      <c r="E44">
        <f t="shared" si="7"/>
        <v>8.5770061365917694E-2</v>
      </c>
      <c r="F44">
        <f t="shared" si="8"/>
        <v>2.6839134312715875E-3</v>
      </c>
      <c r="G44">
        <f t="shared" si="25"/>
        <v>8.5770061365917694E-2</v>
      </c>
      <c r="H44">
        <f t="shared" si="10"/>
        <v>144.40620456288926</v>
      </c>
      <c r="I44">
        <f t="shared" si="11"/>
        <v>-5.3061960133702013E-2</v>
      </c>
      <c r="J44">
        <f t="shared" si="12"/>
        <v>9.752695139776085</v>
      </c>
      <c r="K44">
        <f t="shared" si="13"/>
        <v>-0.17561287185654434</v>
      </c>
      <c r="L44">
        <f t="shared" si="14"/>
        <v>8.441854030975135E-2</v>
      </c>
      <c r="M44" s="268">
        <f t="shared" si="26"/>
        <v>0.83514957013742874</v>
      </c>
      <c r="N44">
        <f t="shared" si="15"/>
        <v>204.94740174422222</v>
      </c>
      <c r="O44">
        <f t="shared" si="16"/>
        <v>-1.5231185200038788</v>
      </c>
      <c r="Q44">
        <f t="shared" si="27"/>
        <v>-23.493182485288049</v>
      </c>
      <c r="R44">
        <f t="shared" si="17"/>
        <v>0</v>
      </c>
      <c r="S44">
        <f t="shared" si="28"/>
        <v>2.1194303445839509E-2</v>
      </c>
      <c r="T44">
        <f t="shared" si="29"/>
        <v>-1.2606059348335481</v>
      </c>
      <c r="U44">
        <f t="shared" si="18"/>
        <v>38.742361336268822</v>
      </c>
      <c r="V44">
        <f t="shared" si="19"/>
        <v>20.504337410459499</v>
      </c>
      <c r="W44">
        <f t="shared" si="20"/>
        <v>-38.742361336268822</v>
      </c>
      <c r="Y44">
        <f t="shared" si="21"/>
        <v>22.196370526997583</v>
      </c>
      <c r="Z44">
        <f t="shared" si="30"/>
        <v>-87.268262894434514</v>
      </c>
      <c r="AA44">
        <f t="shared" si="22"/>
        <v>16.545990809271238</v>
      </c>
      <c r="AB44">
        <f t="shared" si="23"/>
        <v>107.772600304894</v>
      </c>
    </row>
    <row r="45" spans="1:28">
      <c r="A45">
        <v>761.20213900571855</v>
      </c>
      <c r="B45" s="270">
        <f t="shared" si="5"/>
        <v>0.76120213900571854</v>
      </c>
      <c r="C45" t="s">
        <v>53</v>
      </c>
      <c r="D45">
        <f t="shared" si="24"/>
        <v>2.2479038249293695E-3</v>
      </c>
      <c r="E45">
        <f t="shared" si="7"/>
        <v>8.9915698646711034E-2</v>
      </c>
      <c r="F45">
        <f t="shared" si="8"/>
        <v>2.7021218429091384E-3</v>
      </c>
      <c r="G45">
        <f t="shared" si="25"/>
        <v>8.9915698646711034E-2</v>
      </c>
      <c r="H45">
        <f t="shared" si="10"/>
        <v>144.44642118661943</v>
      </c>
      <c r="I45">
        <f t="shared" si="11"/>
        <v>-5.5621534000422239E-2</v>
      </c>
      <c r="J45">
        <f t="shared" si="12"/>
        <v>9.752529167724985</v>
      </c>
      <c r="K45">
        <f t="shared" si="13"/>
        <v>-0.1841010837678973</v>
      </c>
      <c r="L45">
        <f t="shared" si="14"/>
        <v>8.6086923693553655E-2</v>
      </c>
      <c r="M45" s="268">
        <f t="shared" si="26"/>
        <v>0.87549767735283113</v>
      </c>
      <c r="N45">
        <f t="shared" si="15"/>
        <v>186.64567548783154</v>
      </c>
      <c r="O45">
        <f t="shared" si="16"/>
        <v>-1.5284038086519012</v>
      </c>
      <c r="Q45">
        <f t="shared" si="27"/>
        <v>-23.493182485288049</v>
      </c>
      <c r="R45">
        <f t="shared" si="17"/>
        <v>0</v>
      </c>
      <c r="S45">
        <f t="shared" si="28"/>
        <v>1.9378015305038587E-2</v>
      </c>
      <c r="T45">
        <f t="shared" si="29"/>
        <v>-1.2592973416719127</v>
      </c>
      <c r="U45">
        <f t="shared" si="18"/>
        <v>37.947017953171922</v>
      </c>
      <c r="V45">
        <f t="shared" si="19"/>
        <v>20.276489542680793</v>
      </c>
      <c r="W45">
        <f t="shared" si="20"/>
        <v>-37.947017953171922</v>
      </c>
      <c r="Y45">
        <f t="shared" si="21"/>
        <v>21.79012567789275</v>
      </c>
      <c r="Z45">
        <f t="shared" si="30"/>
        <v>-87.571087627474597</v>
      </c>
      <c r="AA45">
        <f t="shared" si="22"/>
        <v>16.156892275279176</v>
      </c>
      <c r="AB45">
        <f t="shared" si="23"/>
        <v>107.8475771701554</v>
      </c>
    </row>
    <row r="46" spans="1:28">
      <c r="A46">
        <v>797.99468726797761</v>
      </c>
      <c r="B46" s="270">
        <f t="shared" si="5"/>
        <v>0.79799468726797762</v>
      </c>
      <c r="C46">
        <f>PI()*Main!C20*2*10^-6</f>
        <v>6.2831853071795856E-5</v>
      </c>
      <c r="D46">
        <f t="shared" si="24"/>
        <v>2.356555792297277E-3</v>
      </c>
      <c r="E46">
        <f t="shared" si="7"/>
        <v>9.4261708223143378E-2</v>
      </c>
      <c r="F46">
        <f t="shared" si="8"/>
        <v>2.7221329745050846E-3</v>
      </c>
      <c r="G46">
        <f t="shared" si="25"/>
        <v>9.4261708223143378E-2</v>
      </c>
      <c r="H46">
        <f t="shared" si="10"/>
        <v>144.49061949094116</v>
      </c>
      <c r="I46">
        <f t="shared" si="11"/>
        <v>-5.8304040693559343E-2</v>
      </c>
      <c r="J46">
        <f t="shared" si="12"/>
        <v>9.7523467621658444</v>
      </c>
      <c r="K46">
        <f t="shared" si="13"/>
        <v>-0.19299957164985748</v>
      </c>
      <c r="L46">
        <f t="shared" si="14"/>
        <v>8.7920478047378403E-2</v>
      </c>
      <c r="M46" s="268">
        <f t="shared" si="26"/>
        <v>0.91779316096549457</v>
      </c>
      <c r="N46">
        <f t="shared" si="15"/>
        <v>169.97410701522008</v>
      </c>
      <c r="O46">
        <f t="shared" si="16"/>
        <v>-1.5335962707273054</v>
      </c>
      <c r="Q46">
        <f t="shared" si="27"/>
        <v>-23.493182485288049</v>
      </c>
      <c r="R46">
        <f t="shared" si="17"/>
        <v>0</v>
      </c>
      <c r="S46">
        <f t="shared" si="28"/>
        <v>1.7719482869140782E-2</v>
      </c>
      <c r="T46">
        <f t="shared" si="29"/>
        <v>-1.2573448459735836</v>
      </c>
      <c r="U46">
        <f t="shared" si="18"/>
        <v>37.15208380172561</v>
      </c>
      <c r="V46">
        <f t="shared" si="19"/>
        <v>20.090853143510088</v>
      </c>
      <c r="W46">
        <f t="shared" si="20"/>
        <v>-37.15208380172561</v>
      </c>
      <c r="Y46">
        <f t="shared" si="21"/>
        <v>21.383774040751327</v>
      </c>
      <c r="Z46">
        <f t="shared" si="30"/>
        <v>-87.868593789676993</v>
      </c>
      <c r="AA46">
        <f t="shared" si="22"/>
        <v>15.768309760974283</v>
      </c>
      <c r="AB46">
        <f t="shared" si="23"/>
        <v>107.9594469331871</v>
      </c>
    </row>
    <row r="47" spans="1:28">
      <c r="A47">
        <v>836.56559575581048</v>
      </c>
      <c r="B47" s="270">
        <f t="shared" si="5"/>
        <v>0.83656559575581046</v>
      </c>
      <c r="C47" t="s">
        <v>55</v>
      </c>
      <c r="D47">
        <f t="shared" si="24"/>
        <v>2.4704594300800774E-3</v>
      </c>
      <c r="E47">
        <f t="shared" si="7"/>
        <v>9.8817774101548919E-2</v>
      </c>
      <c r="F47">
        <f t="shared" si="8"/>
        <v>2.7441253018886946E-3</v>
      </c>
      <c r="G47">
        <f t="shared" si="25"/>
        <v>9.8817774101548919E-2</v>
      </c>
      <c r="H47">
        <f t="shared" si="10"/>
        <v>144.53919368548375</v>
      </c>
      <c r="I47">
        <f t="shared" si="11"/>
        <v>-6.1115303486299247E-2</v>
      </c>
      <c r="J47">
        <f t="shared" si="12"/>
        <v>9.7521462958140166</v>
      </c>
      <c r="K47">
        <f t="shared" si="13"/>
        <v>-0.2023281661067749</v>
      </c>
      <c r="L47">
        <f t="shared" si="14"/>
        <v>8.9935554448011643E-2</v>
      </c>
      <c r="M47" s="268">
        <f t="shared" si="26"/>
        <v>0.96212971478863796</v>
      </c>
      <c r="N47">
        <f t="shared" si="15"/>
        <v>154.78901383691976</v>
      </c>
      <c r="O47">
        <f t="shared" si="16"/>
        <v>-1.5387069662381954</v>
      </c>
      <c r="Q47">
        <f t="shared" si="27"/>
        <v>-23.493182485288049</v>
      </c>
      <c r="R47">
        <f t="shared" si="17"/>
        <v>0</v>
      </c>
      <c r="S47">
        <f t="shared" si="28"/>
        <v>1.6205479083682129E-2</v>
      </c>
      <c r="T47">
        <f t="shared" si="29"/>
        <v>-1.2547472349531661</v>
      </c>
      <c r="U47">
        <f t="shared" si="18"/>
        <v>36.357765767899295</v>
      </c>
      <c r="V47">
        <f t="shared" si="19"/>
        <v>19.946864008646259</v>
      </c>
      <c r="W47">
        <f t="shared" si="20"/>
        <v>-36.357765767899295</v>
      </c>
      <c r="Y47">
        <f t="shared" si="21"/>
        <v>20.977347692088557</v>
      </c>
      <c r="Z47">
        <f t="shared" si="30"/>
        <v>-88.161415072827452</v>
      </c>
      <c r="AA47">
        <f t="shared" si="22"/>
        <v>15.380418075810738</v>
      </c>
      <c r="AB47">
        <f t="shared" si="23"/>
        <v>108.1082790814737</v>
      </c>
    </row>
    <row r="48" spans="1:28">
      <c r="A48">
        <v>877.00082114363533</v>
      </c>
      <c r="B48" s="270">
        <f t="shared" si="5"/>
        <v>0.87700082114363531</v>
      </c>
      <c r="C48">
        <f>Main!C19*0.001</f>
        <v>2.1399999999999999E-2</v>
      </c>
      <c r="D48">
        <f t="shared" si="24"/>
        <v>2.5898685766832371E-3</v>
      </c>
      <c r="E48">
        <f t="shared" si="7"/>
        <v>0.10359404821861687</v>
      </c>
      <c r="F48">
        <f t="shared" si="8"/>
        <v>2.7682949702128039E-3</v>
      </c>
      <c r="G48">
        <f t="shared" si="25"/>
        <v>0.10359404821861687</v>
      </c>
      <c r="H48">
        <f t="shared" si="10"/>
        <v>144.59257700893178</v>
      </c>
      <c r="I48">
        <f t="shared" si="11"/>
        <v>-6.4061409214029336E-2</v>
      </c>
      <c r="J48">
        <f t="shared" si="12"/>
        <v>9.75192598021777</v>
      </c>
      <c r="K48">
        <f t="shared" si="13"/>
        <v>-0.21210765625116848</v>
      </c>
      <c r="L48">
        <f t="shared" si="14"/>
        <v>9.2150122447374111E-2</v>
      </c>
      <c r="M48" s="268">
        <f t="shared" si="26"/>
        <v>1.0086054955469645</v>
      </c>
      <c r="N48">
        <f t="shared" si="15"/>
        <v>140.95911743539605</v>
      </c>
      <c r="O48">
        <f t="shared" si="16"/>
        <v>-1.5437467952215644</v>
      </c>
      <c r="Q48">
        <f t="shared" si="27"/>
        <v>-23.493182485288049</v>
      </c>
      <c r="R48">
        <f t="shared" si="17"/>
        <v>0</v>
      </c>
      <c r="S48">
        <f t="shared" si="28"/>
        <v>1.4823805027041354E-2</v>
      </c>
      <c r="T48">
        <f t="shared" si="29"/>
        <v>-1.2515028257644896</v>
      </c>
      <c r="U48">
        <f t="shared" si="18"/>
        <v>35.564274349054941</v>
      </c>
      <c r="V48">
        <f t="shared" si="19"/>
        <v>19.843994031956129</v>
      </c>
      <c r="W48">
        <f t="shared" si="20"/>
        <v>-35.564274349054941</v>
      </c>
      <c r="Y48">
        <f t="shared" si="21"/>
        <v>20.570878077534339</v>
      </c>
      <c r="Z48">
        <f t="shared" si="30"/>
        <v>-88.450176003042202</v>
      </c>
      <c r="AA48">
        <f t="shared" si="22"/>
        <v>14.993396271520602</v>
      </c>
      <c r="AB48">
        <f t="shared" si="23"/>
        <v>108.29417003499832</v>
      </c>
    </row>
    <row r="49" spans="1:28">
      <c r="A49">
        <v>919.39047480398108</v>
      </c>
      <c r="B49" s="270">
        <f t="shared" si="5"/>
        <v>0.91939047480398106</v>
      </c>
      <c r="C49" t="s">
        <v>57</v>
      </c>
      <c r="D49">
        <f t="shared" si="24"/>
        <v>2.7150493397391415E-3</v>
      </c>
      <c r="E49">
        <f t="shared" si="7"/>
        <v>0.10860117303678785</v>
      </c>
      <c r="F49">
        <f t="shared" si="8"/>
        <v>2.7948575431484273E-3</v>
      </c>
      <c r="G49">
        <f t="shared" si="25"/>
        <v>0.10860117303678785</v>
      </c>
      <c r="H49">
        <f t="shared" si="10"/>
        <v>144.65124559312949</v>
      </c>
      <c r="I49">
        <f t="shared" si="11"/>
        <v>-6.7148718328610038E-2</v>
      </c>
      <c r="J49">
        <f t="shared" si="12"/>
        <v>9.7516838497900658</v>
      </c>
      <c r="K49">
        <f t="shared" si="13"/>
        <v>-0.22235983603301857</v>
      </c>
      <c r="L49">
        <f t="shared" si="14"/>
        <v>9.4583930232666424E-2</v>
      </c>
      <c r="M49" s="268">
        <f t="shared" si="26"/>
        <v>1.0573233285848647</v>
      </c>
      <c r="N49">
        <f t="shared" si="15"/>
        <v>128.36451725157775</v>
      </c>
      <c r="O49">
        <f t="shared" si="16"/>
        <v>-1.5487265124428051</v>
      </c>
      <c r="Q49">
        <f t="shared" si="27"/>
        <v>-23.493182485288049</v>
      </c>
      <c r="R49">
        <f t="shared" si="17"/>
        <v>0</v>
      </c>
      <c r="S49">
        <f t="shared" si="28"/>
        <v>1.3563223971483464E-2</v>
      </c>
      <c r="T49">
        <f t="shared" si="29"/>
        <v>-1.2476095244213146</v>
      </c>
      <c r="U49">
        <f t="shared" si="18"/>
        <v>34.771824940493978</v>
      </c>
      <c r="V49">
        <f t="shared" si="19"/>
        <v>19.781746987346935</v>
      </c>
      <c r="W49">
        <f t="shared" si="20"/>
        <v>-34.771824940493978</v>
      </c>
      <c r="Y49">
        <f t="shared" si="21"/>
        <v>20.164396277227901</v>
      </c>
      <c r="Z49">
        <f t="shared" si="30"/>
        <v>-88.735492782987905</v>
      </c>
      <c r="AA49">
        <f t="shared" si="22"/>
        <v>14.60742866326607</v>
      </c>
      <c r="AB49">
        <f t="shared" si="23"/>
        <v>108.51723977033487</v>
      </c>
    </row>
    <row r="50" spans="1:28">
      <c r="A50">
        <v>963.82902362397147</v>
      </c>
      <c r="B50" s="270">
        <f t="shared" si="5"/>
        <v>0.96382902362397149</v>
      </c>
      <c r="C50">
        <f>PI()/(PS!B72*1000)</f>
        <v>3.1304680612377699E-5</v>
      </c>
      <c r="D50">
        <f t="shared" si="24"/>
        <v>2.8462806891376702E-3</v>
      </c>
      <c r="E50">
        <f t="shared" si="7"/>
        <v>0.11385030522846235</v>
      </c>
      <c r="F50">
        <f t="shared" si="8"/>
        <v>2.8240499252242019E-3</v>
      </c>
      <c r="G50">
        <f t="shared" si="25"/>
        <v>0.11385030522846235</v>
      </c>
      <c r="H50">
        <f t="shared" si="10"/>
        <v>144.715722709754</v>
      </c>
      <c r="I50">
        <f t="shared" si="11"/>
        <v>-7.038387504039044E-2</v>
      </c>
      <c r="J50">
        <f t="shared" si="12"/>
        <v>9.7514177442569903</v>
      </c>
      <c r="K50">
        <f t="shared" si="13"/>
        <v>-0.23310755280838011</v>
      </c>
      <c r="L50">
        <f t="shared" si="14"/>
        <v>9.7258680627021227E-2</v>
      </c>
      <c r="M50" s="268">
        <f t="shared" si="26"/>
        <v>1.1083909219948667</v>
      </c>
      <c r="N50">
        <f t="shared" si="15"/>
        <v>116.89574173273911</v>
      </c>
      <c r="O50">
        <f t="shared" si="16"/>
        <v>-1.5536567420084855</v>
      </c>
      <c r="Q50">
        <f t="shared" si="27"/>
        <v>-23.493182485288049</v>
      </c>
      <c r="R50">
        <f t="shared" si="17"/>
        <v>0</v>
      </c>
      <c r="S50">
        <f t="shared" si="28"/>
        <v>1.2413397136637703E-2</v>
      </c>
      <c r="T50">
        <f t="shared" si="29"/>
        <v>-1.2430648983639383</v>
      </c>
      <c r="U50">
        <f t="shared" si="18"/>
        <v>33.980639096260397</v>
      </c>
      <c r="V50">
        <f t="shared" si="19"/>
        <v>19.759653533755682</v>
      </c>
      <c r="W50">
        <f t="shared" si="20"/>
        <v>-33.980639096260397</v>
      </c>
      <c r="Y50">
        <f t="shared" si="21"/>
        <v>19.757933268657879</v>
      </c>
      <c r="Z50">
        <f t="shared" si="30"/>
        <v>-89.017974129132014</v>
      </c>
      <c r="AA50">
        <f t="shared" si="22"/>
        <v>14.222705827602518</v>
      </c>
      <c r="AB50">
        <f t="shared" si="23"/>
        <v>108.77762766288771</v>
      </c>
    </row>
    <row r="51" spans="1:28">
      <c r="A51">
        <v>1010.4155005282146</v>
      </c>
      <c r="B51" s="270">
        <f t="shared" si="5"/>
        <v>1.0104155005282145</v>
      </c>
      <c r="C51">
        <f>C46-C38</f>
        <v>-2.4185570998049209E-4</v>
      </c>
      <c r="D51">
        <f t="shared" si="24"/>
        <v>2.983855078720731E-3</v>
      </c>
      <c r="E51">
        <f t="shared" si="7"/>
        <v>0.11935314050113667</v>
      </c>
      <c r="F51">
        <f t="shared" si="8"/>
        <v>2.8561324744455856E-3</v>
      </c>
      <c r="G51">
        <f t="shared" si="25"/>
        <v>0.11935314050113667</v>
      </c>
      <c r="H51">
        <f t="shared" si="10"/>
        <v>144.7865834374341</v>
      </c>
      <c r="I51">
        <f t="shared" si="11"/>
        <v>-7.3773817494306768E-2</v>
      </c>
      <c r="J51">
        <f t="shared" si="12"/>
        <v>9.7511252893654863</v>
      </c>
      <c r="K51">
        <f t="shared" si="13"/>
        <v>-0.24437475825554558</v>
      </c>
      <c r="L51">
        <f t="shared" si="14"/>
        <v>0.10019822449557815</v>
      </c>
      <c r="M51" s="268">
        <f t="shared" si="26"/>
        <v>1.1619210893415033</v>
      </c>
      <c r="N51">
        <f t="shared" si="15"/>
        <v>106.45287205609283</v>
      </c>
      <c r="O51">
        <f t="shared" si="16"/>
        <v>-1.5585479917491125</v>
      </c>
      <c r="Q51">
        <f t="shared" si="27"/>
        <v>-23.493182485288049</v>
      </c>
      <c r="R51">
        <f t="shared" si="17"/>
        <v>0</v>
      </c>
      <c r="S51">
        <f t="shared" si="28"/>
        <v>1.1364821632673617E-2</v>
      </c>
      <c r="T51">
        <f t="shared" si="29"/>
        <v>-1.2378662632294319</v>
      </c>
      <c r="U51">
        <f t="shared" si="18"/>
        <v>33.190945758234783</v>
      </c>
      <c r="V51">
        <f t="shared" si="19"/>
        <v>19.77726541950895</v>
      </c>
      <c r="W51">
        <f t="shared" si="20"/>
        <v>-33.190945758234783</v>
      </c>
      <c r="Y51">
        <f t="shared" si="21"/>
        <v>19.351520188795618</v>
      </c>
      <c r="Z51">
        <f t="shared" si="30"/>
        <v>-89.298222095814396</v>
      </c>
      <c r="AA51">
        <f t="shared" si="22"/>
        <v>13.839425569439165</v>
      </c>
      <c r="AB51">
        <f t="shared" si="23"/>
        <v>109.07548751532335</v>
      </c>
    </row>
    <row r="52" spans="1:28">
      <c r="A52">
        <v>1059.2537251772903</v>
      </c>
      <c r="B52" s="270">
        <f t="shared" si="5"/>
        <v>1.0592537251772904</v>
      </c>
      <c r="D52">
        <f t="shared" si="24"/>
        <v>3.1280790980263216E-3</v>
      </c>
      <c r="E52">
        <f t="shared" si="7"/>
        <v>0.12512193961803303</v>
      </c>
      <c r="F52">
        <f t="shared" si="8"/>
        <v>2.8913913240236808E-3</v>
      </c>
      <c r="G52">
        <f t="shared" si="25"/>
        <v>0.12512193961803303</v>
      </c>
      <c r="H52">
        <f t="shared" si="10"/>
        <v>144.864459790941</v>
      </c>
      <c r="I52">
        <f t="shared" si="11"/>
        <v>-7.7325787915704727E-2</v>
      </c>
      <c r="J52">
        <f t="shared" si="12"/>
        <v>9.750803875677521</v>
      </c>
      <c r="K52">
        <f t="shared" si="13"/>
        <v>-0.25618656175223464</v>
      </c>
      <c r="L52">
        <f t="shared" si="14"/>
        <v>0.1034287732761334</v>
      </c>
      <c r="M52" s="268">
        <f t="shared" si="26"/>
        <v>1.2180319811290374</v>
      </c>
      <c r="N52">
        <f t="shared" si="15"/>
        <v>96.944734118930086</v>
      </c>
      <c r="O52">
        <f t="shared" si="16"/>
        <v>-1.5634106672290495</v>
      </c>
      <c r="Q52">
        <f t="shared" si="27"/>
        <v>-23.493182485288049</v>
      </c>
      <c r="R52">
        <f t="shared" si="17"/>
        <v>0</v>
      </c>
      <c r="S52">
        <f t="shared" si="28"/>
        <v>1.040877095277175E-2</v>
      </c>
      <c r="T52">
        <f t="shared" si="29"/>
        <v>-1.2320107844176091</v>
      </c>
      <c r="U52">
        <f t="shared" si="18"/>
        <v>32.402982445811745</v>
      </c>
      <c r="V52">
        <f t="shared" si="19"/>
        <v>19.834148860312524</v>
      </c>
      <c r="W52">
        <f t="shared" si="20"/>
        <v>-32.402982445811745</v>
      </c>
      <c r="Y52">
        <f t="shared" si="21"/>
        <v>18.945188597369548</v>
      </c>
      <c r="Z52">
        <f t="shared" si="30"/>
        <v>-89.576832877956548</v>
      </c>
      <c r="AA52">
        <f t="shared" si="22"/>
        <v>13.457793848442201</v>
      </c>
      <c r="AB52">
        <f t="shared" si="23"/>
        <v>109.41098173826907</v>
      </c>
    </row>
    <row r="53" spans="1:28">
      <c r="A53">
        <v>1110.4525353336408</v>
      </c>
      <c r="B53" s="270">
        <f t="shared" si="5"/>
        <v>1.1104525353336407</v>
      </c>
      <c r="C53" t="s">
        <v>58</v>
      </c>
      <c r="D53">
        <f t="shared" si="24"/>
        <v>3.2792741555344664E-3</v>
      </c>
      <c r="E53">
        <f t="shared" si="7"/>
        <v>0.13116955567133087</v>
      </c>
      <c r="F53">
        <f t="shared" si="8"/>
        <v>2.9301409339059347E-3</v>
      </c>
      <c r="G53">
        <f t="shared" si="25"/>
        <v>0.13116955567133087</v>
      </c>
      <c r="H53">
        <f t="shared" si="10"/>
        <v>144.95004635819876</v>
      </c>
      <c r="I53">
        <f t="shared" si="11"/>
        <v>-8.1047342649247123E-2</v>
      </c>
      <c r="J53">
        <f t="shared" si="12"/>
        <v>9.7504506352604423</v>
      </c>
      <c r="K53">
        <f t="shared" si="13"/>
        <v>-0.26856928633275517</v>
      </c>
      <c r="L53">
        <f t="shared" si="14"/>
        <v>0.10697913252286802</v>
      </c>
      <c r="M53" s="268">
        <f t="shared" si="26"/>
        <v>1.2768473251278993</v>
      </c>
      <c r="N53">
        <f t="shared" si="15"/>
        <v>88.288154431671558</v>
      </c>
      <c r="O53">
        <f t="shared" si="16"/>
        <v>-1.5682550852379855</v>
      </c>
      <c r="Q53">
        <f t="shared" si="27"/>
        <v>-23.493182485288049</v>
      </c>
      <c r="R53">
        <f t="shared" si="17"/>
        <v>0</v>
      </c>
      <c r="S53">
        <f t="shared" si="28"/>
        <v>9.5372382608634992E-3</v>
      </c>
      <c r="T53">
        <f t="shared" si="29"/>
        <v>-1.2254955940427927</v>
      </c>
      <c r="U53">
        <f t="shared" si="18"/>
        <v>31.61699639645213</v>
      </c>
      <c r="V53">
        <f t="shared" si="19"/>
        <v>19.929877065404554</v>
      </c>
      <c r="W53">
        <f t="shared" si="20"/>
        <v>-31.61699639645213</v>
      </c>
      <c r="Y53">
        <f t="shared" si="21"/>
        <v>18.538970743129759</v>
      </c>
      <c r="Z53">
        <f t="shared" si="30"/>
        <v>-89.854397584065737</v>
      </c>
      <c r="AA53">
        <f t="shared" si="22"/>
        <v>13.078025653322378</v>
      </c>
      <c r="AB53">
        <f t="shared" si="23"/>
        <v>109.78427464947031</v>
      </c>
    </row>
    <row r="54" spans="1:28">
      <c r="A54">
        <v>1164.126029410492</v>
      </c>
      <c r="B54" s="270">
        <f t="shared" si="5"/>
        <v>1.164126029410492</v>
      </c>
      <c r="C54" s="107">
        <f>C31*C36^2*(PS!B66/1000)/(Main!C20*10^-6)/(PS!B72*10^3)/2</f>
        <v>8.6790908446130876E-5</v>
      </c>
      <c r="D54">
        <f t="shared" si="24"/>
        <v>3.4377771949377378E-3</v>
      </c>
      <c r="E54">
        <f t="shared" si="7"/>
        <v>0.13750946266777098</v>
      </c>
      <c r="F54">
        <f t="shared" si="8"/>
        <v>2.9727268948474056E-3</v>
      </c>
      <c r="G54">
        <f t="shared" si="25"/>
        <v>0.13750946266777098</v>
      </c>
      <c r="H54">
        <f t="shared" si="10"/>
        <v>145.04410649539204</v>
      </c>
      <c r="I54">
        <f t="shared" si="11"/>
        <v>-8.4946362000236614E-2</v>
      </c>
      <c r="J54">
        <f t="shared" si="12"/>
        <v>9.750062416064333</v>
      </c>
      <c r="K54">
        <f t="shared" si="13"/>
        <v>-0.28155052734984576</v>
      </c>
      <c r="L54">
        <f t="shared" si="14"/>
        <v>0.1108809585376085</v>
      </c>
      <c r="M54" s="268">
        <f t="shared" si="26"/>
        <v>1.3384966756334293</v>
      </c>
      <c r="N54">
        <f t="shared" si="15"/>
        <v>80.407275648190264</v>
      </c>
      <c r="O54">
        <f t="shared" si="16"/>
        <v>-1.5730914866123797</v>
      </c>
      <c r="Q54">
        <f t="shared" si="27"/>
        <v>-23.493182485288049</v>
      </c>
      <c r="R54">
        <f t="shared" si="17"/>
        <v>0</v>
      </c>
      <c r="S54">
        <f t="shared" si="28"/>
        <v>8.7428826278336362E-3</v>
      </c>
      <c r="T54">
        <f t="shared" si="29"/>
        <v>-1.2183179238147803</v>
      </c>
      <c r="U54">
        <f t="shared" si="18"/>
        <v>30.833245645163718</v>
      </c>
      <c r="V54">
        <f t="shared" si="19"/>
        <v>20.064021889422321</v>
      </c>
      <c r="W54">
        <f t="shared" si="20"/>
        <v>-30.833245645163718</v>
      </c>
      <c r="Y54">
        <f t="shared" si="21"/>
        <v>18.132899834952486</v>
      </c>
      <c r="Z54">
        <f t="shared" si="30"/>
        <v>-90.131502970849809</v>
      </c>
      <c r="AA54">
        <f t="shared" si="22"/>
        <v>12.700345810211232</v>
      </c>
      <c r="AB54">
        <f t="shared" si="23"/>
        <v>110.19552486027212</v>
      </c>
    </row>
    <row r="55" spans="1:28">
      <c r="A55">
        <v>1220.3938207443193</v>
      </c>
      <c r="B55" s="270">
        <f t="shared" si="5"/>
        <v>1.2203938207443192</v>
      </c>
      <c r="C55">
        <f>C54*C34</f>
        <v>7.6180993641854807E-8</v>
      </c>
      <c r="D55">
        <f t="shared" si="24"/>
        <v>3.6039414460325284E-3</v>
      </c>
      <c r="E55">
        <f t="shared" si="7"/>
        <v>0.14415578548916957</v>
      </c>
      <c r="F55">
        <f t="shared" si="8"/>
        <v>3.0195290100097929E-3</v>
      </c>
      <c r="G55">
        <f t="shared" si="25"/>
        <v>0.14415578548916957</v>
      </c>
      <c r="H55">
        <f t="shared" si="10"/>
        <v>145.14747913542527</v>
      </c>
      <c r="I55">
        <f t="shared" si="11"/>
        <v>-8.9031059771675844E-2</v>
      </c>
      <c r="J55">
        <f t="shared" si="12"/>
        <v>9.7496357537563494</v>
      </c>
      <c r="K55">
        <f t="shared" si="13"/>
        <v>-0.29515921397192274</v>
      </c>
      <c r="L55">
        <f t="shared" si="14"/>
        <v>0.11516904036721273</v>
      </c>
      <c r="M55" s="268">
        <f t="shared" si="26"/>
        <v>1.4031156716800257</v>
      </c>
      <c r="N55">
        <f t="shared" si="15"/>
        <v>73.232927604762395</v>
      </c>
      <c r="O55">
        <f t="shared" si="16"/>
        <v>-1.5779300482260228</v>
      </c>
      <c r="Q55">
        <f t="shared" si="27"/>
        <v>-23.493182485288049</v>
      </c>
      <c r="R55">
        <f t="shared" si="17"/>
        <v>0</v>
      </c>
      <c r="S55">
        <f t="shared" si="28"/>
        <v>8.0189782945026544E-3</v>
      </c>
      <c r="T55">
        <f t="shared" si="29"/>
        <v>-1.2104752542921908</v>
      </c>
      <c r="U55">
        <f t="shared" si="18"/>
        <v>30.052000028534135</v>
      </c>
      <c r="V55">
        <f t="shared" si="19"/>
        <v>20.236144593806813</v>
      </c>
      <c r="W55">
        <f t="shared" si="20"/>
        <v>-30.052000028534135</v>
      </c>
      <c r="Y55">
        <f t="shared" si="21"/>
        <v>17.727010319634299</v>
      </c>
      <c r="Z55">
        <f t="shared" si="30"/>
        <v>-90.408732130225559</v>
      </c>
      <c r="AA55">
        <f t="shared" si="22"/>
        <v>12.324989708899828</v>
      </c>
      <c r="AB55">
        <f t="shared" si="23"/>
        <v>110.64487672403237</v>
      </c>
    </row>
    <row r="56" spans="1:28">
      <c r="A56">
        <v>1279.3813041575261</v>
      </c>
      <c r="B56" s="270">
        <f t="shared" si="5"/>
        <v>1.2793813041575262</v>
      </c>
      <c r="D56">
        <f t="shared" si="24"/>
        <v>3.7781372119045282E-3</v>
      </c>
      <c r="E56">
        <f t="shared" si="7"/>
        <v>0.15112333129327107</v>
      </c>
      <c r="F56">
        <f t="shared" si="8"/>
        <v>3.0709646815460837E-3</v>
      </c>
      <c r="G56">
        <f t="shared" si="25"/>
        <v>0.15112333129327107</v>
      </c>
      <c r="H56">
        <f t="shared" si="10"/>
        <v>145.26108627045937</v>
      </c>
      <c r="I56">
        <f t="shared" si="11"/>
        <v>-9.3309992372199002E-2</v>
      </c>
      <c r="J56">
        <f t="shared" si="12"/>
        <v>9.7491668407588854</v>
      </c>
      <c r="K56">
        <f t="shared" si="13"/>
        <v>-0.30942567365278639</v>
      </c>
      <c r="L56">
        <f t="shared" si="14"/>
        <v>0.11988160966977271</v>
      </c>
      <c r="M56" s="268">
        <f t="shared" si="26"/>
        <v>1.4708463041726638</v>
      </c>
      <c r="N56">
        <f t="shared" si="15"/>
        <v>66.702049903944427</v>
      </c>
      <c r="O56">
        <f t="shared" si="16"/>
        <v>-1.5827808939762242</v>
      </c>
      <c r="Q56">
        <f t="shared" si="27"/>
        <v>-23.493182485288049</v>
      </c>
      <c r="R56">
        <f t="shared" si="17"/>
        <v>0</v>
      </c>
      <c r="S56">
        <f t="shared" si="28"/>
        <v>7.3593669800696626E-3</v>
      </c>
      <c r="T56">
        <f t="shared" si="29"/>
        <v>-1.2019654807881535</v>
      </c>
      <c r="U56">
        <f t="shared" si="18"/>
        <v>29.273542096373998</v>
      </c>
      <c r="V56">
        <f t="shared" si="19"/>
        <v>20.445785711644874</v>
      </c>
      <c r="W56">
        <f t="shared" si="20"/>
        <v>-29.273542096373998</v>
      </c>
      <c r="Y56">
        <f t="shared" si="21"/>
        <v>17.321338168223896</v>
      </c>
      <c r="Z56">
        <f t="shared" si="30"/>
        <v>-90.686665118781079</v>
      </c>
      <c r="AA56">
        <f t="shared" si="22"/>
        <v>11.952203928150105</v>
      </c>
      <c r="AB56">
        <f t="shared" si="23"/>
        <v>111.13245083042597</v>
      </c>
    </row>
    <row r="57" spans="1:28">
      <c r="A57">
        <v>1341.2199354053716</v>
      </c>
      <c r="B57" s="270">
        <f t="shared" si="5"/>
        <v>1.3412199354053715</v>
      </c>
      <c r="D57">
        <f t="shared" si="24"/>
        <v>3.9607526941626307E-3</v>
      </c>
      <c r="E57">
        <f t="shared" si="7"/>
        <v>0.15842762242337113</v>
      </c>
      <c r="F57">
        <f t="shared" si="8"/>
        <v>3.1274926323431474E-3</v>
      </c>
      <c r="G57">
        <f t="shared" si="25"/>
        <v>0.15842762242337113</v>
      </c>
      <c r="H57">
        <f t="shared" si="10"/>
        <v>145.38594117526301</v>
      </c>
      <c r="I57">
        <f t="shared" si="11"/>
        <v>-9.7792067349393413E-2</v>
      </c>
      <c r="J57">
        <f t="shared" si="12"/>
        <v>9.7486514922131882</v>
      </c>
      <c r="K57">
        <f t="shared" si="13"/>
        <v>-0.32438169971745584</v>
      </c>
      <c r="L57">
        <f t="shared" si="14"/>
        <v>0.12506068119829455</v>
      </c>
      <c r="M57" s="268">
        <f t="shared" si="26"/>
        <v>1.5418371918241653</v>
      </c>
      <c r="N57">
        <f t="shared" si="15"/>
        <v>60.757162263665705</v>
      </c>
      <c r="O57">
        <f t="shared" si="16"/>
        <v>-1.5876541045759929</v>
      </c>
      <c r="Q57">
        <f t="shared" si="27"/>
        <v>-23.493182485288049</v>
      </c>
      <c r="R57">
        <f t="shared" si="17"/>
        <v>0</v>
      </c>
      <c r="S57">
        <f t="shared" si="28"/>
        <v>6.7584132079304866E-3</v>
      </c>
      <c r="T57">
        <f t="shared" si="29"/>
        <v>-1.1927870959725082</v>
      </c>
      <c r="U57">
        <f t="shared" si="18"/>
        <v>28.498167911409176</v>
      </c>
      <c r="V57">
        <f t="shared" si="19"/>
        <v>20.692454024283165</v>
      </c>
      <c r="W57">
        <f t="shared" si="20"/>
        <v>-28.498167911409176</v>
      </c>
      <c r="Y57">
        <f t="shared" si="21"/>
        <v>16.91592117273338</v>
      </c>
      <c r="Z57">
        <f t="shared" si="30"/>
        <v>-90.965879518826227</v>
      </c>
      <c r="AA57">
        <f t="shared" si="22"/>
        <v>11.582246738675799</v>
      </c>
      <c r="AB57">
        <f t="shared" si="23"/>
        <v>111.65833354310941</v>
      </c>
    </row>
    <row r="58" spans="1:28">
      <c r="A58">
        <v>1406.0475241299157</v>
      </c>
      <c r="B58" s="270">
        <f t="shared" si="5"/>
        <v>1.4060475241299157</v>
      </c>
      <c r="C58" t="s">
        <v>106</v>
      </c>
      <c r="D58">
        <f t="shared" si="24"/>
        <v>4.1521948580603811E-3</v>
      </c>
      <c r="E58">
        <f t="shared" si="7"/>
        <v>0.16608493089827012</v>
      </c>
      <c r="F58">
        <f t="shared" si="8"/>
        <v>3.1896169960771107E-3</v>
      </c>
      <c r="G58">
        <f t="shared" si="25"/>
        <v>0.16608493089827012</v>
      </c>
      <c r="H58">
        <f t="shared" si="10"/>
        <v>145.52315744472403</v>
      </c>
      <c r="I58">
        <f t="shared" si="11"/>
        <v>-0.10248655117975576</v>
      </c>
      <c r="J58">
        <f t="shared" si="12"/>
        <v>9.7480851085621563</v>
      </c>
      <c r="K58">
        <f t="shared" si="13"/>
        <v>-0.34006062221475386</v>
      </c>
      <c r="L58">
        <f t="shared" si="14"/>
        <v>0.13075242692046452</v>
      </c>
      <c r="M58" s="268">
        <f t="shared" si="26"/>
        <v>1.6162438656984992</v>
      </c>
      <c r="N58">
        <f t="shared" si="15"/>
        <v>55.345879047728886</v>
      </c>
      <c r="O58">
        <f t="shared" si="16"/>
        <v>-1.5925597259428059</v>
      </c>
      <c r="Q58">
        <f t="shared" si="27"/>
        <v>-23.493182485288049</v>
      </c>
      <c r="R58">
        <f t="shared" si="17"/>
        <v>0</v>
      </c>
      <c r="S58">
        <f t="shared" si="28"/>
        <v>6.2109625847971079E-3</v>
      </c>
      <c r="T58">
        <f t="shared" si="29"/>
        <v>-1.1829393888972086</v>
      </c>
      <c r="U58">
        <f t="shared" si="18"/>
        <v>27.726187714895929</v>
      </c>
      <c r="V58">
        <f t="shared" si="19"/>
        <v>20.975614677371368</v>
      </c>
      <c r="W58">
        <f t="shared" si="20"/>
        <v>-27.726187714895929</v>
      </c>
      <c r="Y58">
        <f t="shared" si="21"/>
        <v>16.51079925505887</v>
      </c>
      <c r="Z58">
        <f t="shared" si="30"/>
        <v>-91.246950919033821</v>
      </c>
      <c r="AA58">
        <f t="shared" si="22"/>
        <v>11.215388459837051</v>
      </c>
      <c r="AB58">
        <f t="shared" si="23"/>
        <v>112.22256559640519</v>
      </c>
    </row>
    <row r="59" spans="1:28">
      <c r="A59">
        <v>1474.0085409738124</v>
      </c>
      <c r="B59" s="270">
        <f t="shared" si="5"/>
        <v>1.4740085409738124</v>
      </c>
      <c r="D59">
        <f t="shared" si="24"/>
        <v>4.352890339432822E-3</v>
      </c>
      <c r="E59">
        <f t="shared" si="7"/>
        <v>0.17411231455736609</v>
      </c>
      <c r="F59">
        <f t="shared" si="8"/>
        <v>3.2578918120130477E-3</v>
      </c>
      <c r="G59">
        <f t="shared" si="25"/>
        <v>0.17411231455736609</v>
      </c>
      <c r="H59">
        <f t="shared" si="10"/>
        <v>145.67395892612683</v>
      </c>
      <c r="I59">
        <f t="shared" si="11"/>
        <v>-0.10740307612033891</v>
      </c>
      <c r="J59">
        <f t="shared" si="12"/>
        <v>9.7474626344152107</v>
      </c>
      <c r="K59">
        <f t="shared" si="13"/>
        <v>-0.3564973821945307</v>
      </c>
      <c r="L59">
        <f t="shared" si="14"/>
        <v>0.13700758708932448</v>
      </c>
      <c r="M59" s="268">
        <f t="shared" si="26"/>
        <v>1.694229062055389</v>
      </c>
      <c r="N59">
        <f t="shared" si="15"/>
        <v>50.420464596065678</v>
      </c>
      <c r="O59">
        <f t="shared" si="16"/>
        <v>-1.5975077759510137</v>
      </c>
      <c r="Q59">
        <f t="shared" si="27"/>
        <v>-23.493182485288049</v>
      </c>
      <c r="R59">
        <f t="shared" si="17"/>
        <v>0</v>
      </c>
      <c r="S59">
        <f t="shared" si="28"/>
        <v>5.7123029420118607E-3</v>
      </c>
      <c r="T59">
        <f t="shared" si="29"/>
        <v>-1.1724226597645431</v>
      </c>
      <c r="U59">
        <f t="shared" si="18"/>
        <v>26.957926433659633</v>
      </c>
      <c r="V59">
        <f t="shared" si="19"/>
        <v>21.294676488665431</v>
      </c>
      <c r="W59">
        <f t="shared" si="20"/>
        <v>-26.957926433659633</v>
      </c>
      <c r="Y59">
        <f t="shared" si="21"/>
        <v>16.106014789918913</v>
      </c>
      <c r="Z59">
        <f t="shared" si="30"/>
        <v>-91.530453301323789</v>
      </c>
      <c r="AA59">
        <f t="shared" si="22"/>
        <v>10.851911643740713</v>
      </c>
      <c r="AB59">
        <f t="shared" si="23"/>
        <v>112.82512978998921</v>
      </c>
    </row>
    <row r="60" spans="1:28">
      <c r="A60">
        <v>1545.254439538415</v>
      </c>
      <c r="B60" s="270">
        <f t="shared" si="5"/>
        <v>1.5452544395384149</v>
      </c>
      <c r="C60" t="s">
        <v>105</v>
      </c>
      <c r="D60">
        <f t="shared" si="24"/>
        <v>4.5632863954700436E-3</v>
      </c>
      <c r="E60">
        <f t="shared" si="7"/>
        <v>0.18252765493907919</v>
      </c>
      <c r="F60">
        <f t="shared" si="8"/>
        <v>3.3329259645805505E-3</v>
      </c>
      <c r="G60">
        <f t="shared" si="25"/>
        <v>0.18252765493907919</v>
      </c>
      <c r="H60">
        <f t="shared" si="10"/>
        <v>145.83969063478358</v>
      </c>
      <c r="I60">
        <f t="shared" si="11"/>
        <v>-0.11255164589780974</v>
      </c>
      <c r="J60">
        <f t="shared" si="12"/>
        <v>9.7467785133244647</v>
      </c>
      <c r="K60">
        <f t="shared" si="13"/>
        <v>-0.37372860957507076</v>
      </c>
      <c r="L60">
        <f t="shared" si="14"/>
        <v>0.14388192190468363</v>
      </c>
      <c r="M60" s="268">
        <f t="shared" si="26"/>
        <v>1.7759630230669778</v>
      </c>
      <c r="N60">
        <f t="shared" si="15"/>
        <v>45.93742617705616</v>
      </c>
      <c r="O60">
        <f t="shared" si="16"/>
        <v>-1.6025082492873748</v>
      </c>
      <c r="Q60">
        <f t="shared" si="27"/>
        <v>-23.493182485288049</v>
      </c>
      <c r="R60">
        <f t="shared" si="17"/>
        <v>0</v>
      </c>
      <c r="S60">
        <f t="shared" si="28"/>
        <v>5.258128228295412E-3</v>
      </c>
      <c r="T60">
        <f t="shared" si="29"/>
        <v>-1.1612384492554901</v>
      </c>
      <c r="U60">
        <f t="shared" si="18"/>
        <v>26.193724002045645</v>
      </c>
      <c r="V60">
        <f t="shared" si="19"/>
        <v>21.648978530278839</v>
      </c>
      <c r="W60">
        <f t="shared" si="20"/>
        <v>-26.193724002045645</v>
      </c>
      <c r="Y60">
        <f t="shared" si="21"/>
        <v>15.701612943584117</v>
      </c>
      <c r="Z60">
        <f t="shared" si="30"/>
        <v>-91.816959319064992</v>
      </c>
      <c r="AA60">
        <f t="shared" si="22"/>
        <v>10.492111058461525</v>
      </c>
      <c r="AB60">
        <f t="shared" si="23"/>
        <v>113.4659378493438</v>
      </c>
    </row>
    <row r="61" spans="1:28">
      <c r="A61">
        <v>1619.9439939036308</v>
      </c>
      <c r="B61" s="270">
        <f t="shared" si="5"/>
        <v>1.6199439939036309</v>
      </c>
      <c r="C61">
        <f>C24*C62+1</f>
        <v>1</v>
      </c>
      <c r="D61">
        <f t="shared" si="24"/>
        <v>4.7838519014460823E-3</v>
      </c>
      <c r="E61">
        <f t="shared" si="7"/>
        <v>0.1913496969742926</v>
      </c>
      <c r="F61">
        <f t="shared" si="8"/>
        <v>3.4153886117116016E-3</v>
      </c>
      <c r="G61">
        <f t="shared" si="25"/>
        <v>0.1913496969742926</v>
      </c>
      <c r="H61">
        <f t="shared" si="10"/>
        <v>146.02183075037647</v>
      </c>
      <c r="I61">
        <f t="shared" si="11"/>
        <v>-0.11794263997789969</v>
      </c>
      <c r="J61">
        <f t="shared" si="12"/>
        <v>9.7460266380639577</v>
      </c>
      <c r="K61">
        <f t="shared" si="13"/>
        <v>-0.39179270477419659</v>
      </c>
      <c r="L61">
        <f t="shared" si="14"/>
        <v>0.15143670776159088</v>
      </c>
      <c r="M61" s="268">
        <f t="shared" si="26"/>
        <v>1.8616238048297906</v>
      </c>
      <c r="N61">
        <f t="shared" si="15"/>
        <v>41.857141586580198</v>
      </c>
      <c r="O61">
        <f t="shared" si="16"/>
        <v>-1.6075711201175507</v>
      </c>
      <c r="Q61">
        <f t="shared" si="27"/>
        <v>-23.493182485288049</v>
      </c>
      <c r="R61">
        <f t="shared" si="17"/>
        <v>0</v>
      </c>
      <c r="S61">
        <f t="shared" si="28"/>
        <v>4.8445050295431932E-3</v>
      </c>
      <c r="T61">
        <f t="shared" si="29"/>
        <v>-1.1493897806358584</v>
      </c>
      <c r="U61">
        <f t="shared" si="18"/>
        <v>25.433935470824657</v>
      </c>
      <c r="V61">
        <f t="shared" si="19"/>
        <v>22.037776104243846</v>
      </c>
      <c r="W61">
        <f t="shared" si="20"/>
        <v>-25.433935470824657</v>
      </c>
      <c r="Y61">
        <f t="shared" si="21"/>
        <v>15.297642030119508</v>
      </c>
      <c r="Z61">
        <f t="shared" si="30"/>
        <v>-92.107040449853955</v>
      </c>
      <c r="AA61">
        <f t="shared" si="22"/>
        <v>10.136293440705153</v>
      </c>
      <c r="AB61">
        <f t="shared" si="23"/>
        <v>114.1448165540978</v>
      </c>
    </row>
    <row r="62" spans="1:28">
      <c r="A62">
        <v>1698.2436524617447</v>
      </c>
      <c r="B62" s="270">
        <f t="shared" si="5"/>
        <v>1.6982436524617446</v>
      </c>
      <c r="D62">
        <f t="shared" si="24"/>
        <v>5.0150783956245558E-3</v>
      </c>
      <c r="E62">
        <f t="shared" si="7"/>
        <v>0.20059809058013647</v>
      </c>
      <c r="F62">
        <f t="shared" si="8"/>
        <v>3.5060151502719801E-3</v>
      </c>
      <c r="G62">
        <f t="shared" si="25"/>
        <v>0.20059809058013647</v>
      </c>
      <c r="H62">
        <f t="shared" si="10"/>
        <v>146.22200380100796</v>
      </c>
      <c r="I62">
        <f t="shared" si="11"/>
        <v>-0.12358681612190736</v>
      </c>
      <c r="J62">
        <f t="shared" si="12"/>
        <v>9.7452002959627144</v>
      </c>
      <c r="K62">
        <f t="shared" si="13"/>
        <v>-0.4107299242859993</v>
      </c>
      <c r="L62">
        <f t="shared" si="14"/>
        <v>0.15973928247320407</v>
      </c>
      <c r="M62" s="268">
        <f t="shared" si="26"/>
        <v>1.9513975919214517</v>
      </c>
      <c r="N62">
        <f t="shared" si="15"/>
        <v>38.143518616598897</v>
      </c>
      <c r="O62">
        <f t="shared" si="16"/>
        <v>-1.61270634223541</v>
      </c>
      <c r="Q62">
        <f t="shared" si="27"/>
        <v>-23.493182485288049</v>
      </c>
      <c r="R62">
        <f t="shared" si="17"/>
        <v>0</v>
      </c>
      <c r="S62">
        <f t="shared" si="28"/>
        <v>4.4678415825382548E-3</v>
      </c>
      <c r="T62">
        <f t="shared" si="29"/>
        <v>-1.1368814121636555</v>
      </c>
      <c r="U62">
        <f t="shared" si="18"/>
        <v>24.678930874443925</v>
      </c>
      <c r="V62">
        <f t="shared" si="19"/>
        <v>22.460226272080007</v>
      </c>
      <c r="W62">
        <f t="shared" si="20"/>
        <v>-24.678930874443925</v>
      </c>
      <c r="Y62">
        <f t="shared" si="21"/>
        <v>14.894153886784782</v>
      </c>
      <c r="Z62">
        <f t="shared" si="30"/>
        <v>-92.401267004069538</v>
      </c>
      <c r="AA62">
        <f t="shared" si="22"/>
        <v>9.7847769876591357</v>
      </c>
      <c r="AB62">
        <f t="shared" si="23"/>
        <v>114.86149327614953</v>
      </c>
    </row>
    <row r="63" spans="1:28">
      <c r="A63">
        <v>1780.3279088537295</v>
      </c>
      <c r="B63" s="270">
        <f t="shared" si="5"/>
        <v>1.7803279088537294</v>
      </c>
      <c r="D63">
        <f t="shared" si="24"/>
        <v>5.25748117466961E-3</v>
      </c>
      <c r="E63">
        <f t="shared" si="7"/>
        <v>0.2102934342431933</v>
      </c>
      <c r="F63">
        <f t="shared" si="8"/>
        <v>3.6056137716902106E-3</v>
      </c>
      <c r="G63">
        <f t="shared" si="25"/>
        <v>0.2102934342431933</v>
      </c>
      <c r="H63">
        <f t="shared" si="10"/>
        <v>146.441995152549</v>
      </c>
      <c r="I63">
        <f t="shared" si="11"/>
        <v>-0.1294953108968056</v>
      </c>
      <c r="J63">
        <f t="shared" si="12"/>
        <v>9.7442921087970067</v>
      </c>
      <c r="K63">
        <f t="shared" si="13"/>
        <v>-0.43058247039390352</v>
      </c>
      <c r="L63">
        <f t="shared" si="14"/>
        <v>0.16886364428413114</v>
      </c>
      <c r="M63" s="268">
        <f t="shared" si="26"/>
        <v>2.045479017546973</v>
      </c>
      <c r="N63">
        <f t="shared" si="15"/>
        <v>34.76368380805944</v>
      </c>
      <c r="O63">
        <f t="shared" si="16"/>
        <v>-1.6179238463265437</v>
      </c>
      <c r="Q63">
        <f t="shared" si="27"/>
        <v>-23.493182485288049</v>
      </c>
      <c r="R63">
        <f t="shared" si="17"/>
        <v>0</v>
      </c>
      <c r="S63">
        <f t="shared" si="28"/>
        <v>4.1248591446114546E-3</v>
      </c>
      <c r="T63">
        <f t="shared" si="29"/>
        <v>-1.1237200965418186</v>
      </c>
      <c r="U63">
        <f t="shared" si="18"/>
        <v>23.929094828418286</v>
      </c>
      <c r="V63">
        <f t="shared" si="19"/>
        <v>22.915373146036643</v>
      </c>
      <c r="W63">
        <f t="shared" si="20"/>
        <v>-23.929094828418286</v>
      </c>
      <c r="Y63">
        <f t="shared" si="21"/>
        <v>14.49120427013195</v>
      </c>
      <c r="Z63">
        <f t="shared" si="30"/>
        <v>-92.700207968083731</v>
      </c>
      <c r="AA63">
        <f t="shared" si="22"/>
        <v>9.4378905582863339</v>
      </c>
      <c r="AB63">
        <f t="shared" si="23"/>
        <v>115.61558111412037</v>
      </c>
    </row>
    <row r="64" spans="1:28">
      <c r="A64">
        <v>1866.3796908346708</v>
      </c>
      <c r="B64" s="270">
        <f t="shared" si="5"/>
        <v>1.8663796908346708</v>
      </c>
      <c r="D64">
        <f t="shared" si="24"/>
        <v>5.5116004420032675E-3</v>
      </c>
      <c r="E64">
        <f t="shared" si="7"/>
        <v>0.220457320685087</v>
      </c>
      <c r="F64">
        <f t="shared" si="8"/>
        <v>3.7150726661307814E-3</v>
      </c>
      <c r="G64">
        <f t="shared" si="25"/>
        <v>0.220457320685087</v>
      </c>
      <c r="H64">
        <f t="shared" si="10"/>
        <v>146.68376693251727</v>
      </c>
      <c r="I64">
        <f t="shared" si="11"/>
        <v>-0.13567963776151987</v>
      </c>
      <c r="J64">
        <f t="shared" si="12"/>
        <v>9.7432939666972249</v>
      </c>
      <c r="K64">
        <f t="shared" si="13"/>
        <v>-0.4513945852199906</v>
      </c>
      <c r="L64">
        <f t="shared" si="14"/>
        <v>0.17889110996033744</v>
      </c>
      <c r="M64" s="268">
        <f t="shared" si="26"/>
        <v>2.144071488079188</v>
      </c>
      <c r="N64">
        <f t="shared" si="15"/>
        <v>31.687698087384003</v>
      </c>
      <c r="O64">
        <f t="shared" si="16"/>
        <v>-1.6232335339324442</v>
      </c>
      <c r="Q64">
        <f t="shared" si="27"/>
        <v>-23.493182485288049</v>
      </c>
      <c r="R64">
        <f t="shared" si="17"/>
        <v>0</v>
      </c>
      <c r="S64">
        <f t="shared" si="28"/>
        <v>3.8125655795359652E-3</v>
      </c>
      <c r="T64">
        <f t="shared" si="29"/>
        <v>-1.1099148433136461</v>
      </c>
      <c r="U64">
        <f t="shared" si="18"/>
        <v>23.184825830377235</v>
      </c>
      <c r="V64">
        <f t="shared" si="19"/>
        <v>23.402133200769271</v>
      </c>
      <c r="W64">
        <f t="shared" si="20"/>
        <v>-23.184825830377235</v>
      </c>
      <c r="Y64">
        <f t="shared" si="21"/>
        <v>14.088853274196293</v>
      </c>
      <c r="Z64">
        <f t="shared" si="30"/>
        <v>-93.004430658434757</v>
      </c>
      <c r="AA64">
        <f t="shared" si="22"/>
        <v>9.0959725561809464</v>
      </c>
      <c r="AB64">
        <f t="shared" si="23"/>
        <v>116.40656385920403</v>
      </c>
    </row>
    <row r="65" spans="1:28">
      <c r="A65">
        <v>1956.5907679349384</v>
      </c>
      <c r="B65" s="270">
        <f t="shared" si="5"/>
        <v>1.9565907679349384</v>
      </c>
      <c r="C65">
        <f>-C36*C50*C31*C42*PS!B66*0.001</f>
        <v>-1.2720956254962399E-6</v>
      </c>
      <c r="D65">
        <f>B65*$C$9*1000</f>
        <v>5.7780025116684532E-3</v>
      </c>
      <c r="E65">
        <f t="shared" si="7"/>
        <v>0.23111238470743081</v>
      </c>
      <c r="F65">
        <f t="shared" si="8"/>
        <v>3.8353679393172213E-3</v>
      </c>
      <c r="G65">
        <f t="shared" si="25"/>
        <v>0.23111238470743081</v>
      </c>
      <c r="H65">
        <f t="shared" si="10"/>
        <v>146.94947553051239</v>
      </c>
      <c r="I65">
        <f t="shared" si="11"/>
        <v>-0.14215168230405448</v>
      </c>
      <c r="J65">
        <f t="shared" si="12"/>
        <v>9.7421969554696481</v>
      </c>
      <c r="K65">
        <f t="shared" si="13"/>
        <v>-0.47321264932018076</v>
      </c>
      <c r="L65">
        <f t="shared" si="14"/>
        <v>0.18991103775685864</v>
      </c>
      <c r="M65" s="268">
        <f t="shared" si="26"/>
        <v>2.247387510516456</v>
      </c>
      <c r="N65">
        <f t="shared" si="15"/>
        <v>28.888297061797083</v>
      </c>
      <c r="O65">
        <f t="shared" si="16"/>
        <v>-1.6286452676522676</v>
      </c>
      <c r="Q65">
        <f t="shared" si="27"/>
        <v>-23.493182485288049</v>
      </c>
      <c r="R65">
        <f t="shared" si="17"/>
        <v>0</v>
      </c>
      <c r="S65">
        <f t="shared" si="28"/>
        <v>3.5282310206132461E-3</v>
      </c>
      <c r="T65">
        <f t="shared" si="29"/>
        <v>-1.0954771792112641</v>
      </c>
      <c r="U65">
        <f t="shared" si="18"/>
        <v>22.446535241586957</v>
      </c>
      <c r="V65">
        <f t="shared" si="19"/>
        <v>23.919280917868775</v>
      </c>
      <c r="W65">
        <f t="shared" si="20"/>
        <v>-22.446535241586957</v>
      </c>
      <c r="Y65">
        <f t="shared" si="21"/>
        <v>13.687165771985747</v>
      </c>
      <c r="Z65">
        <f t="shared" si="30"/>
        <v>-93.314500160429276</v>
      </c>
      <c r="AA65">
        <f t="shared" si="22"/>
        <v>8.7593694696012037</v>
      </c>
      <c r="AB65">
        <f t="shared" si="23"/>
        <v>117.23378107829805</v>
      </c>
    </row>
    <row r="66" spans="1:28">
      <c r="A66">
        <v>2051.1621788255688</v>
      </c>
      <c r="B66" s="270">
        <f t="shared" si="5"/>
        <v>2.0511621788255687</v>
      </c>
      <c r="D66">
        <f>B66*$C$9*1000</f>
        <v>6.0572810703804613E-3</v>
      </c>
      <c r="E66">
        <f t="shared" si="7"/>
        <v>0.24228235331723103</v>
      </c>
      <c r="F66">
        <f t="shared" si="8"/>
        <v>3.9675723124356944E-3</v>
      </c>
      <c r="G66">
        <f t="shared" si="25"/>
        <v>0.24228235331723103</v>
      </c>
      <c r="H66">
        <f t="shared" si="10"/>
        <v>147.24149083129646</v>
      </c>
      <c r="I66">
        <f t="shared" si="11"/>
        <v>-0.14892369415243004</v>
      </c>
      <c r="J66">
        <f t="shared" si="12"/>
        <v>9.7409912766724265</v>
      </c>
      <c r="K66">
        <f t="shared" si="13"/>
        <v>-0.49608528504499105</v>
      </c>
      <c r="L66">
        <f t="shared" si="14"/>
        <v>0.20202162162898127</v>
      </c>
      <c r="M66" s="268">
        <f t="shared" ref="M66:M81" si="31">J66*G66+K66*F66+($C$55+$C$65)*B66*1000</f>
        <v>2.3556490210512995</v>
      </c>
      <c r="N66">
        <f t="shared" si="15"/>
        <v>26.340653915683042</v>
      </c>
      <c r="O66">
        <f t="shared" si="16"/>
        <v>-1.6341688570651389</v>
      </c>
      <c r="Q66">
        <f t="shared" si="27"/>
        <v>-23.493182485288049</v>
      </c>
      <c r="R66">
        <f t="shared" si="17"/>
        <v>0</v>
      </c>
      <c r="S66">
        <f t="shared" si="28"/>
        <v>3.2693654744301191E-3</v>
      </c>
      <c r="T66">
        <f t="shared" si="29"/>
        <v>-1.0804214005783863</v>
      </c>
      <c r="U66">
        <f t="shared" si="18"/>
        <v>21.71464593088406</v>
      </c>
      <c r="V66">
        <f t="shared" si="19"/>
        <v>24.465435129695237</v>
      </c>
      <c r="W66">
        <f t="shared" si="20"/>
        <v>-21.71464593088406</v>
      </c>
      <c r="Y66">
        <f t="shared" si="21"/>
        <v>13.28621188122659</v>
      </c>
      <c r="Z66">
        <f t="shared" si="30"/>
        <v>-93.630978521549935</v>
      </c>
      <c r="AA66">
        <f t="shared" si="22"/>
        <v>8.4284340496574615</v>
      </c>
      <c r="AB66">
        <f t="shared" si="23"/>
        <v>118.09641365124519</v>
      </c>
    </row>
    <row r="67" spans="1:28">
      <c r="A67">
        <v>2150.3046793402586</v>
      </c>
      <c r="B67" s="270">
        <f t="shared" ref="B67:B130" si="32">A67/1000</f>
        <v>2.1503046793402585</v>
      </c>
      <c r="C67" s="107"/>
      <c r="D67">
        <f t="shared" ref="D67:D81" si="33">B67*$C$9*1000</f>
        <v>6.3500585005794048E-3</v>
      </c>
      <c r="E67">
        <f t="shared" ref="E67:E81" si="34">B67*1000*$C$18/(1+D67^2)</f>
        <v>0.25399209823808883</v>
      </c>
      <c r="F67">
        <f t="shared" ref="F67:F81" si="35">D67*E67+$C$24</f>
        <v>4.1128646824967752E-3</v>
      </c>
      <c r="G67">
        <f t="shared" si="25"/>
        <v>0.25399209823808883</v>
      </c>
      <c r="H67">
        <f t="shared" ref="H67:H81" si="36">($C$40+($C$34*B67*1000)^2)</f>
        <v>147.56241735206177</v>
      </c>
      <c r="I67">
        <f t="shared" ref="I67:I81" si="37">ATAN2($C$41,-(B67*1000))</f>
        <v>-0.1560082750271265</v>
      </c>
      <c r="J67">
        <f t="shared" ref="J67:J81" si="38">$C$48+$C$38*(B67*1000)/TAN($C$50*(B67*1000))</f>
        <v>9.7396661597180429</v>
      </c>
      <c r="K67">
        <f t="shared" ref="K67:K81" si="39">$C$51*B67*1000</f>
        <v>-0.52006346489621269</v>
      </c>
      <c r="L67">
        <f t="shared" ref="L67:L81" si="40">F67*J67-G67*K67+$C$44</f>
        <v>0.2153307636708014</v>
      </c>
      <c r="M67" s="268">
        <f t="shared" si="31"/>
        <v>2.4690877125588977</v>
      </c>
      <c r="N67">
        <f t="shared" ref="N67:N81" si="41">H67/(L67^2+M67^2)</f>
        <v>24.02216300771363</v>
      </c>
      <c r="O67">
        <f t="shared" ref="O67:O81" si="42">I67-ATAN2(L67,M67)</f>
        <v>-1.6398140397977432</v>
      </c>
      <c r="Q67">
        <f t="shared" ref="Q67:Q82" si="43">$P$4+10*LOG((1+($P$6*B67)^2)/(1+($P$8*B67)^2))</f>
        <v>-23.493182485288049</v>
      </c>
      <c r="R67">
        <f t="shared" ref="R67:R82" si="44">DEGREES(ATAN(B67*$P$6)-ATAN(B67*$P$8))</f>
        <v>0</v>
      </c>
      <c r="S67">
        <f t="shared" si="28"/>
        <v>3.0336982326775314E-3</v>
      </c>
      <c r="T67">
        <f t="shared" si="29"/>
        <v>-1.0647648111466557</v>
      </c>
      <c r="U67">
        <f t="shared" ref="U67:U82" si="45">10*LOG(N67*S67)+Q67+$P$21</f>
        <v>20.989590570061466</v>
      </c>
      <c r="V67">
        <f t="shared" ref="V67:V82" si="46">DEGREES(T67+O67)+R67+180</f>
        <v>25.039046480544158</v>
      </c>
      <c r="W67">
        <f t="shared" ref="W67:W82" si="47">-U67</f>
        <v>-20.989590570061466</v>
      </c>
      <c r="Y67">
        <f t="shared" ref="Y67:Y82" si="48">10*LOG(N67)+20*LOG($C$29)</f>
        <v>12.886067455006099</v>
      </c>
      <c r="Z67">
        <f t="shared" si="30"/>
        <v>-93.954423666708294</v>
      </c>
      <c r="AA67">
        <f t="shared" ref="AA67:AA82" si="49">10*LOG(S67)+Q67+$P$37</f>
        <v>8.1035231150553741</v>
      </c>
      <c r="AB67">
        <f t="shared" ref="AB67:AB82" si="50">DEGREES(T67+R67)+180</f>
        <v>118.99347014725248</v>
      </c>
    </row>
    <row r="68" spans="1:28">
      <c r="A68">
        <v>2254.2392121524299</v>
      </c>
      <c r="B68" s="270">
        <f t="shared" si="32"/>
        <v>2.2542392121524299</v>
      </c>
      <c r="D68">
        <f t="shared" si="33"/>
        <v>6.6569872674321897E-3</v>
      </c>
      <c r="E68">
        <f t="shared" si="34"/>
        <v>0.26626769091689495</v>
      </c>
      <c r="F68">
        <f t="shared" si="35"/>
        <v>4.2725406281623399E-3</v>
      </c>
      <c r="G68">
        <f t="shared" si="25"/>
        <v>0.26626769091689495</v>
      </c>
      <c r="H68">
        <f t="shared" si="36"/>
        <v>147.91511747241162</v>
      </c>
      <c r="I68">
        <f t="shared" si="37"/>
        <v>-0.16341836234435492</v>
      </c>
      <c r="J68">
        <f t="shared" si="38"/>
        <v>9.7382097652000876</v>
      </c>
      <c r="K68">
        <f t="shared" si="39"/>
        <v>-0.5452006251209911</v>
      </c>
      <c r="L68">
        <f t="shared" si="40"/>
        <v>0.22995703244202692</v>
      </c>
      <c r="M68" s="268">
        <f t="shared" si="31"/>
        <v>2.5879453583653431</v>
      </c>
      <c r="N68">
        <f t="shared" si="41"/>
        <v>21.912242416554481</v>
      </c>
      <c r="O68">
        <f t="shared" si="42"/>
        <v>-1.645590457099992</v>
      </c>
      <c r="Q68">
        <f t="shared" si="43"/>
        <v>-23.493182485288049</v>
      </c>
      <c r="R68">
        <f t="shared" si="44"/>
        <v>0</v>
      </c>
      <c r="S68">
        <f t="shared" si="28"/>
        <v>2.8191589643434632E-3</v>
      </c>
      <c r="T68">
        <f t="shared" si="29"/>
        <v>-1.0485279377098531</v>
      </c>
      <c r="U68">
        <f t="shared" si="45"/>
        <v>20.271809578918841</v>
      </c>
      <c r="V68">
        <f t="shared" si="46"/>
        <v>25.638386468835847</v>
      </c>
      <c r="W68">
        <f t="shared" si="47"/>
        <v>-20.271809578918841</v>
      </c>
      <c r="Y68">
        <f t="shared" si="48"/>
        <v>12.486814597554066</v>
      </c>
      <c r="Z68">
        <f t="shared" si="30"/>
        <v>-94.2853879988335</v>
      </c>
      <c r="AA68">
        <f t="shared" si="49"/>
        <v>7.7849949813647754</v>
      </c>
      <c r="AB68">
        <f t="shared" si="50"/>
        <v>119.92377446766935</v>
      </c>
    </row>
    <row r="69" spans="1:28">
      <c r="A69">
        <v>2363.1973991540176</v>
      </c>
      <c r="B69" s="270">
        <f t="shared" si="32"/>
        <v>2.3631973991540174</v>
      </c>
      <c r="D69">
        <f t="shared" si="33"/>
        <v>6.9787513728748812E-3</v>
      </c>
      <c r="E69">
        <f t="shared" si="34"/>
        <v>0.27913646014014898</v>
      </c>
      <c r="F69">
        <f t="shared" si="35"/>
        <v>4.4480239544224991E-3</v>
      </c>
      <c r="G69">
        <f t="shared" si="25"/>
        <v>0.27913646014014898</v>
      </c>
      <c r="H69">
        <f t="shared" si="36"/>
        <v>148.30273696424467</v>
      </c>
      <c r="I69">
        <f t="shared" si="37"/>
        <v>-0.17116720771873081</v>
      </c>
      <c r="J69">
        <f t="shared" si="38"/>
        <v>9.7366090785603401</v>
      </c>
      <c r="K69">
        <f t="shared" si="39"/>
        <v>-0.57155278479644722</v>
      </c>
      <c r="L69">
        <f t="shared" si="40"/>
        <v>0.24603071558483694</v>
      </c>
      <c r="M69" s="268">
        <f t="shared" si="31"/>
        <v>2.712474129132171</v>
      </c>
      <c r="N69">
        <f t="shared" si="41"/>
        <v>19.992153821606404</v>
      </c>
      <c r="O69">
        <f t="shared" si="42"/>
        <v>-1.6515076232264561</v>
      </c>
      <c r="Q69">
        <f t="shared" si="43"/>
        <v>-23.493182485288049</v>
      </c>
      <c r="R69">
        <f t="shared" si="44"/>
        <v>0</v>
      </c>
      <c r="S69">
        <f t="shared" si="28"/>
        <v>2.6238603662188838E-3</v>
      </c>
      <c r="T69">
        <f t="shared" si="29"/>
        <v>-1.0317347156806964</v>
      </c>
      <c r="U69">
        <f t="shared" si="45"/>
        <v>19.561748729381605</v>
      </c>
      <c r="V69">
        <f t="shared" si="46"/>
        <v>26.261538569808465</v>
      </c>
      <c r="W69">
        <f t="shared" si="47"/>
        <v>-19.561748729381605</v>
      </c>
      <c r="Y69">
        <f t="shared" si="48"/>
        <v>12.088542204908876</v>
      </c>
      <c r="Z69">
        <f t="shared" si="30"/>
        <v>-94.624416644557655</v>
      </c>
      <c r="AA69">
        <f t="shared" si="49"/>
        <v>7.4732065244727366</v>
      </c>
      <c r="AB69">
        <f t="shared" si="50"/>
        <v>120.88595521436613</v>
      </c>
    </row>
    <row r="70" spans="1:28">
      <c r="A70">
        <v>2477.4220576332868</v>
      </c>
      <c r="B70" s="270">
        <f t="shared" si="32"/>
        <v>2.4774220576332868</v>
      </c>
      <c r="D70">
        <f t="shared" si="33"/>
        <v>7.31606787993592E-3</v>
      </c>
      <c r="E70">
        <f t="shared" si="34"/>
        <v>0.29262705237857944</v>
      </c>
      <c r="F70">
        <f t="shared" si="35"/>
        <v>4.640879378707251E-3</v>
      </c>
      <c r="G70">
        <f t="shared" si="25"/>
        <v>0.29262705237857944</v>
      </c>
      <c r="H70">
        <f t="shared" si="36"/>
        <v>148.72873304924704</v>
      </c>
      <c r="I70">
        <f t="shared" si="37"/>
        <v>-0.17926834965186536</v>
      </c>
      <c r="J70">
        <f t="shared" si="38"/>
        <v>9.7348497931212297</v>
      </c>
      <c r="K70">
        <f t="shared" si="39"/>
        <v>-0.59917867067023023</v>
      </c>
      <c r="L70">
        <f t="shared" si="40"/>
        <v>0.26369497594328228</v>
      </c>
      <c r="M70" s="268">
        <f t="shared" si="31"/>
        <v>2.8429368990844122</v>
      </c>
      <c r="N70">
        <f t="shared" si="41"/>
        <v>18.244838234650587</v>
      </c>
      <c r="O70">
        <f t="shared" si="42"/>
        <v>-1.6575748878541188</v>
      </c>
      <c r="Q70">
        <f t="shared" si="43"/>
        <v>-23.493182485288049</v>
      </c>
      <c r="R70">
        <f t="shared" si="44"/>
        <v>0</v>
      </c>
      <c r="S70">
        <f t="shared" si="28"/>
        <v>2.4460822557395251E-3</v>
      </c>
      <c r="T70">
        <f t="shared" si="29"/>
        <v>-1.0144126362044634</v>
      </c>
      <c r="U70">
        <f t="shared" si="45"/>
        <v>18.859856431089057</v>
      </c>
      <c r="V70">
        <f t="shared" si="46"/>
        <v>26.906391959832746</v>
      </c>
      <c r="W70">
        <f t="shared" si="47"/>
        <v>-18.859856431089057</v>
      </c>
      <c r="Y70">
        <f t="shared" si="48"/>
        <v>11.69134652960426</v>
      </c>
      <c r="Z70">
        <f t="shared" si="30"/>
        <v>-94.972045300911745</v>
      </c>
      <c r="AA70">
        <f t="shared" si="49"/>
        <v>7.1685099014847893</v>
      </c>
      <c r="AB70">
        <f t="shared" si="50"/>
        <v>121.87843726074448</v>
      </c>
    </row>
    <row r="71" spans="1:28">
      <c r="A71">
        <v>2597.1677414020146</v>
      </c>
      <c r="B71" s="270">
        <f t="shared" si="32"/>
        <v>2.5971677414020147</v>
      </c>
      <c r="D71">
        <f t="shared" si="33"/>
        <v>7.6696885107372277E-3</v>
      </c>
      <c r="E71">
        <f t="shared" si="34"/>
        <v>0.30676949498333583</v>
      </c>
      <c r="F71">
        <f t="shared" si="35"/>
        <v>4.852826471118352E-3</v>
      </c>
      <c r="G71">
        <f t="shared" si="25"/>
        <v>0.30676949498333583</v>
      </c>
      <c r="H71">
        <f t="shared" si="36"/>
        <v>149.19690523424006</v>
      </c>
      <c r="I71">
        <f t="shared" si="37"/>
        <v>-0.18773557963149426</v>
      </c>
      <c r="J71">
        <f t="shared" si="38"/>
        <v>9.7329161814085214</v>
      </c>
      <c r="K71">
        <f t="shared" si="39"/>
        <v>-0.62813984803521528</v>
      </c>
      <c r="L71">
        <f t="shared" si="40"/>
        <v>0.28310712128421606</v>
      </c>
      <c r="M71" s="268">
        <f t="shared" si="31"/>
        <v>2.9796075371003967</v>
      </c>
      <c r="N71">
        <f t="shared" si="41"/>
        <v>16.654766218733474</v>
      </c>
      <c r="O71">
        <f t="shared" si="42"/>
        <v>-1.6638013906991507</v>
      </c>
      <c r="Q71">
        <f t="shared" si="43"/>
        <v>-23.493182485288049</v>
      </c>
      <c r="R71">
        <f t="shared" si="44"/>
        <v>0</v>
      </c>
      <c r="S71">
        <f t="shared" si="28"/>
        <v>2.2842569965320935E-3</v>
      </c>
      <c r="T71">
        <f t="shared" si="29"/>
        <v>-0.99659284651594582</v>
      </c>
      <c r="U71">
        <f t="shared" si="45"/>
        <v>18.166580735249035</v>
      </c>
      <c r="V71">
        <f t="shared" si="46"/>
        <v>27.570638366649007</v>
      </c>
      <c r="W71">
        <f t="shared" si="47"/>
        <v>-18.166580735249035</v>
      </c>
      <c r="Y71">
        <f t="shared" si="48"/>
        <v>11.295331767773201</v>
      </c>
      <c r="Z71">
        <f t="shared" si="30"/>
        <v>-95.32879763505828</v>
      </c>
      <c r="AA71">
        <f t="shared" si="49"/>
        <v>6.8712489674758288</v>
      </c>
      <c r="AB71">
        <f t="shared" si="50"/>
        <v>122.89943600170727</v>
      </c>
    </row>
    <row r="72" spans="1:28">
      <c r="A72">
        <v>2722.7013080779147</v>
      </c>
      <c r="B72" s="270">
        <f t="shared" si="32"/>
        <v>2.7227013080779146</v>
      </c>
      <c r="D72">
        <f t="shared" si="33"/>
        <v>8.0404013217342824E-3</v>
      </c>
      <c r="E72">
        <f t="shared" si="34"/>
        <v>0.32159526236167235</v>
      </c>
      <c r="F72">
        <f t="shared" si="35"/>
        <v>5.0857549725562739E-3</v>
      </c>
      <c r="G72">
        <f t="shared" si="25"/>
        <v>0.32159526236167235</v>
      </c>
      <c r="H72">
        <f t="shared" si="36"/>
        <v>149.71142919940726</v>
      </c>
      <c r="I72">
        <f t="shared" si="37"/>
        <v>-0.19658290080599503</v>
      </c>
      <c r="J72">
        <f t="shared" si="38"/>
        <v>9.7307909535778983</v>
      </c>
      <c r="K72">
        <f t="shared" si="39"/>
        <v>-0.65850085792999857</v>
      </c>
      <c r="L72">
        <f t="shared" si="40"/>
        <v>0.30443999868767696</v>
      </c>
      <c r="M72" s="268">
        <f t="shared" si="31"/>
        <v>3.1227711773573228</v>
      </c>
      <c r="N72">
        <f t="shared" si="41"/>
        <v>15.207801342491146</v>
      </c>
      <c r="O72">
        <f t="shared" si="42"/>
        <v>-1.6701960074287945</v>
      </c>
      <c r="Q72">
        <f t="shared" si="43"/>
        <v>-23.493182485288049</v>
      </c>
      <c r="R72">
        <f t="shared" si="44"/>
        <v>0</v>
      </c>
      <c r="S72">
        <f t="shared" si="28"/>
        <v>2.1369561534863319E-3</v>
      </c>
      <c r="T72">
        <f t="shared" si="29"/>
        <v>-0.97831019562816446</v>
      </c>
      <c r="U72">
        <f t="shared" si="45"/>
        <v>17.48236610873839</v>
      </c>
      <c r="V72">
        <f t="shared" si="46"/>
        <v>28.25177255061763</v>
      </c>
      <c r="W72">
        <f t="shared" si="47"/>
        <v>-17.48236610873839</v>
      </c>
      <c r="Y72">
        <f t="shared" si="48"/>
        <v>10.900610666177339</v>
      </c>
      <c r="Z72">
        <f t="shared" si="30"/>
        <v>-95.69518218527061</v>
      </c>
      <c r="AA72">
        <f t="shared" si="49"/>
        <v>6.5817554425610538</v>
      </c>
      <c r="AB72">
        <f t="shared" si="50"/>
        <v>123.94695473588826</v>
      </c>
    </row>
    <row r="73" spans="1:28">
      <c r="A73">
        <v>2854.3025137865816</v>
      </c>
      <c r="B73" s="270">
        <f t="shared" si="32"/>
        <v>2.8543025137865814</v>
      </c>
      <c r="D73">
        <f t="shared" si="33"/>
        <v>8.4290324599287144E-3</v>
      </c>
      <c r="E73">
        <f t="shared" si="34"/>
        <v>0.33713734526473454</v>
      </c>
      <c r="F73">
        <f t="shared" si="35"/>
        <v>5.3417416266906418E-3</v>
      </c>
      <c r="G73">
        <f t="shared" si="25"/>
        <v>0.33713734526473454</v>
      </c>
      <c r="H73">
        <f t="shared" si="36"/>
        <v>150.27689404165397</v>
      </c>
      <c r="I73">
        <f t="shared" si="37"/>
        <v>-0.20582447834409606</v>
      </c>
      <c r="J73">
        <f t="shared" si="38"/>
        <v>9.7284551016359977</v>
      </c>
      <c r="K73">
        <f t="shared" si="39"/>
        <v>-0.69032936097095698</v>
      </c>
      <c r="L73">
        <f t="shared" si="40"/>
        <v>0.32788352573307733</v>
      </c>
      <c r="M73" s="268">
        <f t="shared" si="31"/>
        <v>3.2727244632691224</v>
      </c>
      <c r="N73">
        <f t="shared" si="41"/>
        <v>13.891075721768347</v>
      </c>
      <c r="O73">
        <f t="shared" si="42"/>
        <v>-1.6767672859015046</v>
      </c>
      <c r="Q73">
        <f t="shared" si="43"/>
        <v>-23.493182485288049</v>
      </c>
      <c r="R73">
        <f t="shared" si="44"/>
        <v>0</v>
      </c>
      <c r="S73">
        <f t="shared" si="28"/>
        <v>2.0028782806139215E-3</v>
      </c>
      <c r="T73">
        <f t="shared" si="29"/>
        <v>-0.95960321828501927</v>
      </c>
      <c r="U73">
        <f t="shared" si="45"/>
        <v>16.807650045572089</v>
      </c>
      <c r="V73">
        <f t="shared" si="46"/>
        <v>28.947096877335241</v>
      </c>
      <c r="W73">
        <f t="shared" si="47"/>
        <v>-16.807650045572089</v>
      </c>
      <c r="Y73">
        <f t="shared" si="48"/>
        <v>10.507305145615391</v>
      </c>
      <c r="Z73">
        <f t="shared" si="30"/>
        <v>-96.071688707762078</v>
      </c>
      <c r="AA73">
        <f t="shared" si="49"/>
        <v>6.3003448999567055</v>
      </c>
      <c r="AB73">
        <f t="shared" si="50"/>
        <v>125.01878558509733</v>
      </c>
    </row>
    <row r="74" spans="1:28">
      <c r="A74">
        <v>2992.2646366081931</v>
      </c>
      <c r="B74" s="270">
        <f t="shared" si="32"/>
        <v>2.9922646366081933</v>
      </c>
      <c r="D74">
        <f t="shared" si="33"/>
        <v>8.8364480039669416E-3</v>
      </c>
      <c r="E74">
        <f t="shared" si="34"/>
        <v>0.35343032332471752</v>
      </c>
      <c r="F74">
        <f t="shared" si="35"/>
        <v>5.6230686750840912E-3</v>
      </c>
      <c r="G74">
        <f t="shared" si="25"/>
        <v>0.35343032332471752</v>
      </c>
      <c r="H74">
        <f t="shared" si="36"/>
        <v>150.89834320527694</v>
      </c>
      <c r="I74">
        <f t="shared" si="37"/>
        <v>-0.21547458054248436</v>
      </c>
      <c r="J74">
        <f t="shared" si="38"/>
        <v>9.7258877280100293</v>
      </c>
      <c r="K74">
        <f t="shared" si="39"/>
        <v>-0.72369628813639375</v>
      </c>
      <c r="L74">
        <f t="shared" si="40"/>
        <v>0.3536463717629299</v>
      </c>
      <c r="M74" s="268">
        <f t="shared" si="31"/>
        <v>3.4297757573410923</v>
      </c>
      <c r="N74">
        <f t="shared" si="41"/>
        <v>12.692876596260314</v>
      </c>
      <c r="O74">
        <f t="shared" si="42"/>
        <v>-1.6835233717123677</v>
      </c>
      <c r="Q74">
        <f t="shared" si="43"/>
        <v>-23.493182485288049</v>
      </c>
      <c r="R74">
        <f t="shared" si="44"/>
        <v>0</v>
      </c>
      <c r="S74">
        <f t="shared" si="28"/>
        <v>1.8808377512900883E-3</v>
      </c>
      <c r="T74">
        <f t="shared" si="29"/>
        <v>-0.94051405142457478</v>
      </c>
      <c r="U74">
        <f t="shared" si="45"/>
        <v>16.142859596970744</v>
      </c>
      <c r="V74">
        <f t="shared" si="46"/>
        <v>29.653730369869038</v>
      </c>
      <c r="W74">
        <f t="shared" si="47"/>
        <v>-16.142859596970744</v>
      </c>
      <c r="Y74">
        <f t="shared" si="48"/>
        <v>10.115546935925723</v>
      </c>
      <c r="Z74">
        <f t="shared" si="30"/>
        <v>-96.458783910752757</v>
      </c>
      <c r="AA74">
        <f t="shared" si="49"/>
        <v>6.0273126610450234</v>
      </c>
      <c r="AB74">
        <f t="shared" si="50"/>
        <v>126.1125142806218</v>
      </c>
    </row>
    <row r="75" spans="1:28">
      <c r="A75">
        <v>3136.8951301583807</v>
      </c>
      <c r="B75" s="270">
        <f t="shared" si="32"/>
        <v>3.1368951301583805</v>
      </c>
      <c r="D75">
        <f t="shared" si="33"/>
        <v>9.2635558942279362E-3</v>
      </c>
      <c r="E75">
        <f t="shared" si="34"/>
        <v>0.37051044098331859</v>
      </c>
      <c r="F75">
        <f t="shared" si="35"/>
        <v>5.9322441794440132E-3</v>
      </c>
      <c r="G75">
        <f t="shared" si="25"/>
        <v>0.37051044098331859</v>
      </c>
      <c r="H75">
        <f t="shared" si="36"/>
        <v>151.58131946500902</v>
      </c>
      <c r="I75">
        <f t="shared" si="37"/>
        <v>-0.22554750970897411</v>
      </c>
      <c r="J75">
        <f t="shared" si="38"/>
        <v>9.7230658568686543</v>
      </c>
      <c r="K75">
        <f t="shared" si="39"/>
        <v>-0.75867599883880321</v>
      </c>
      <c r="L75">
        <f t="shared" si="40"/>
        <v>0.38195780376621291</v>
      </c>
      <c r="M75" s="268">
        <f t="shared" si="31"/>
        <v>3.5942453082753087</v>
      </c>
      <c r="N75">
        <f t="shared" si="41"/>
        <v>11.602542977427746</v>
      </c>
      <c r="O75">
        <f t="shared" si="42"/>
        <v>-1.6904719219754796</v>
      </c>
      <c r="Q75">
        <f t="shared" si="43"/>
        <v>-23.493182485288049</v>
      </c>
      <c r="R75">
        <f t="shared" si="44"/>
        <v>0</v>
      </c>
      <c r="S75">
        <f t="shared" si="28"/>
        <v>1.7697545466347513E-3</v>
      </c>
      <c r="T75">
        <f t="shared" si="29"/>
        <v>-0.92108827918266045</v>
      </c>
      <c r="U75">
        <f t="shared" si="45"/>
        <v>15.488407913197697</v>
      </c>
      <c r="V75">
        <f t="shared" si="46"/>
        <v>30.368622529302314</v>
      </c>
      <c r="W75">
        <f t="shared" si="47"/>
        <v>-15.488407913197697</v>
      </c>
      <c r="Y75">
        <f t="shared" si="48"/>
        <v>9.7254782163601163</v>
      </c>
      <c r="Z75">
        <f t="shared" si="30"/>
        <v>-96.856906514563576</v>
      </c>
      <c r="AA75">
        <f t="shared" si="49"/>
        <v>5.7629296968375812</v>
      </c>
      <c r="AB75">
        <f t="shared" si="50"/>
        <v>127.22552904386586</v>
      </c>
    </row>
    <row r="76" spans="1:28">
      <c r="A76">
        <v>3288.5163087598357</v>
      </c>
      <c r="B76" s="270">
        <f t="shared" si="32"/>
        <v>3.2885163087598359</v>
      </c>
      <c r="D76">
        <f t="shared" si="33"/>
        <v>9.7113079562015162E-3</v>
      </c>
      <c r="E76">
        <f t="shared" si="34"/>
        <v>0.38841568695796919</v>
      </c>
      <c r="F76">
        <f t="shared" si="35"/>
        <v>6.2720243510684037E-3</v>
      </c>
      <c r="G76">
        <f t="shared" si="25"/>
        <v>0.38841568695796919</v>
      </c>
      <c r="H76">
        <f t="shared" si="36"/>
        <v>152.33191436264835</v>
      </c>
      <c r="I76">
        <f t="shared" si="37"/>
        <v>-0.23605752183082676</v>
      </c>
      <c r="J76">
        <f t="shared" si="38"/>
        <v>9.7199642264286652</v>
      </c>
      <c r="K76">
        <f t="shared" si="39"/>
        <v>-0.79534644663753717</v>
      </c>
      <c r="L76">
        <f t="shared" si="40"/>
        <v>0.41306971279720145</v>
      </c>
      <c r="M76" s="268">
        <f t="shared" si="31"/>
        <v>3.766465365163592</v>
      </c>
      <c r="N76">
        <f t="shared" si="41"/>
        <v>10.610371485553797</v>
      </c>
      <c r="O76">
        <f t="shared" si="42"/>
        <v>-1.6976200062451032</v>
      </c>
      <c r="Q76">
        <f t="shared" si="43"/>
        <v>-23.493182485288049</v>
      </c>
      <c r="R76">
        <f t="shared" si="44"/>
        <v>0</v>
      </c>
      <c r="S76">
        <f t="shared" si="28"/>
        <v>1.6686449237274265E-3</v>
      </c>
      <c r="T76">
        <f t="shared" si="29"/>
        <v>-0.9013747046780447</v>
      </c>
      <c r="U76">
        <f t="shared" si="45"/>
        <v>14.844690898945267</v>
      </c>
      <c r="V76">
        <f t="shared" si="46"/>
        <v>31.08857208728017</v>
      </c>
      <c r="W76">
        <f t="shared" si="47"/>
        <v>-14.844690898945267</v>
      </c>
      <c r="Y76">
        <f t="shared" si="48"/>
        <v>9.3372522534557216</v>
      </c>
      <c r="Z76">
        <f t="shared" si="30"/>
        <v>-97.266461574816873</v>
      </c>
      <c r="AA76">
        <f t="shared" si="49"/>
        <v>5.5074386454895503</v>
      </c>
      <c r="AB76">
        <f t="shared" si="50"/>
        <v>128.35503366209707</v>
      </c>
    </row>
    <row r="77" spans="1:28">
      <c r="A77">
        <v>3447.4660657314998</v>
      </c>
      <c r="B77" s="270">
        <f t="shared" si="32"/>
        <v>3.4474660657314997</v>
      </c>
      <c r="D77">
        <f t="shared" si="33"/>
        <v>1.0180702021666056E-2</v>
      </c>
      <c r="E77">
        <f t="shared" si="34"/>
        <v>0.4071858773967475</v>
      </c>
      <c r="F77">
        <f t="shared" si="35"/>
        <v>6.6454380852069336E-3</v>
      </c>
      <c r="G77">
        <f t="shared" si="25"/>
        <v>0.4071858773967475</v>
      </c>
      <c r="H77">
        <f t="shared" si="36"/>
        <v>153.15682253820222</v>
      </c>
      <c r="I77">
        <f t="shared" si="37"/>
        <v>-0.24701873404261729</v>
      </c>
      <c r="J77">
        <f t="shared" si="38"/>
        <v>9.7165550602951054</v>
      </c>
      <c r="K77">
        <f t="shared" si="39"/>
        <v>-0.83378935296114565</v>
      </c>
      <c r="L77">
        <f t="shared" si="40"/>
        <v>0.44725883834147406</v>
      </c>
      <c r="M77" s="268">
        <f t="shared" si="31"/>
        <v>3.9467802268680314</v>
      </c>
      <c r="N77">
        <f t="shared" si="41"/>
        <v>9.7075305689663178</v>
      </c>
      <c r="O77">
        <f t="shared" si="42"/>
        <v>-1.7049739934688317</v>
      </c>
      <c r="Q77">
        <f t="shared" si="43"/>
        <v>-23.493182485288049</v>
      </c>
      <c r="R77">
        <f t="shared" si="44"/>
        <v>0</v>
      </c>
      <c r="S77">
        <f t="shared" si="28"/>
        <v>1.5766128910291238E-3</v>
      </c>
      <c r="T77">
        <f t="shared" si="29"/>
        <v>-0.88142504937995103</v>
      </c>
      <c r="U77">
        <f t="shared" si="45"/>
        <v>14.212084088220863</v>
      </c>
      <c r="V77">
        <f t="shared" si="46"/>
        <v>31.810250708088972</v>
      </c>
      <c r="W77">
        <f t="shared" si="47"/>
        <v>-14.212084088220863</v>
      </c>
      <c r="Y77">
        <f t="shared" si="48"/>
        <v>8.9510340266643347</v>
      </c>
      <c r="Z77">
        <f t="shared" si="30"/>
        <v>-97.687814005329642</v>
      </c>
      <c r="AA77">
        <f t="shared" si="49"/>
        <v>5.2610500615565243</v>
      </c>
      <c r="AB77">
        <f t="shared" si="50"/>
        <v>129.49806471341861</v>
      </c>
    </row>
    <row r="78" spans="1:28">
      <c r="A78">
        <v>3614.0986263961331</v>
      </c>
      <c r="B78" s="270">
        <f t="shared" si="32"/>
        <v>3.614098626396133</v>
      </c>
      <c r="D78">
        <f t="shared" si="33"/>
        <v>1.067278415239295E-2</v>
      </c>
      <c r="E78">
        <f t="shared" si="34"/>
        <v>0.42686274287713899</v>
      </c>
      <c r="F78">
        <f t="shared" si="35"/>
        <v>7.0558139174261153E-3</v>
      </c>
      <c r="G78">
        <f t="shared" si="25"/>
        <v>0.42686274287713899</v>
      </c>
      <c r="H78">
        <f t="shared" si="36"/>
        <v>154.06340144013151</v>
      </c>
      <c r="I78">
        <f t="shared" si="37"/>
        <v>-0.25844501894264965</v>
      </c>
      <c r="J78">
        <f t="shared" si="38"/>
        <v>9.7128078156744984</v>
      </c>
      <c r="K78">
        <f t="shared" si="39"/>
        <v>-0.87409038922655802</v>
      </c>
      <c r="L78">
        <f t="shared" si="40"/>
        <v>0.48482920966814419</v>
      </c>
      <c r="M78" s="268">
        <f t="shared" si="31"/>
        <v>4.1355462126756644</v>
      </c>
      <c r="N78">
        <f t="shared" si="41"/>
        <v>8.8859823675657346</v>
      </c>
      <c r="O78">
        <f t="shared" si="42"/>
        <v>-1.7125394238852922</v>
      </c>
      <c r="Q78">
        <f t="shared" si="43"/>
        <v>-23.493182485288049</v>
      </c>
      <c r="R78">
        <f t="shared" si="44"/>
        <v>0</v>
      </c>
      <c r="S78">
        <f t="shared" si="28"/>
        <v>1.4928424237818792E-3</v>
      </c>
      <c r="T78">
        <f t="shared" si="29"/>
        <v>-0.86129358364533071</v>
      </c>
      <c r="U78">
        <f t="shared" si="45"/>
        <v>13.590939843493274</v>
      </c>
      <c r="V78">
        <f t="shared" si="46"/>
        <v>32.530231497031878</v>
      </c>
      <c r="W78">
        <f t="shared" si="47"/>
        <v>-13.590939843493274</v>
      </c>
      <c r="Y78">
        <f t="shared" si="48"/>
        <v>8.5670008299116489</v>
      </c>
      <c r="Z78">
        <f t="shared" si="30"/>
        <v>-98.121281238392726</v>
      </c>
      <c r="AA78">
        <f t="shared" si="49"/>
        <v>5.023939013581618</v>
      </c>
      <c r="AB78">
        <f t="shared" si="50"/>
        <v>130.6515127354246</v>
      </c>
    </row>
    <row r="79" spans="1:28">
      <c r="A79">
        <v>3788.7853374843721</v>
      </c>
      <c r="B79" s="270">
        <f t="shared" si="32"/>
        <v>3.7887853374843723</v>
      </c>
      <c r="C79">
        <f>E69*F69+$C$24</f>
        <v>3.741605661256084E-3</v>
      </c>
      <c r="D79">
        <f t="shared" si="33"/>
        <v>1.1188650971333453E-2</v>
      </c>
      <c r="E79">
        <f t="shared" si="34"/>
        <v>0.44749001940779282</v>
      </c>
      <c r="F79">
        <f t="shared" si="35"/>
        <v>7.506809640309026E-3</v>
      </c>
      <c r="G79">
        <f t="shared" si="25"/>
        <v>0.44749001940779282</v>
      </c>
      <c r="H79">
        <f t="shared" si="36"/>
        <v>155.05973694725819</v>
      </c>
      <c r="I79">
        <f t="shared" si="37"/>
        <v>-0.27034988487917566</v>
      </c>
      <c r="J79">
        <f t="shared" si="38"/>
        <v>9.7086889060692343</v>
      </c>
      <c r="K79">
        <f t="shared" si="39"/>
        <v>-0.91633936776096114</v>
      </c>
      <c r="L79">
        <f t="shared" si="40"/>
        <v>0.52611482497554729</v>
      </c>
      <c r="M79" s="268">
        <f t="shared" si="31"/>
        <v>4.3331315379793889</v>
      </c>
      <c r="N79">
        <f t="shared" si="41"/>
        <v>8.1384115463019686</v>
      </c>
      <c r="O79">
        <f t="shared" si="42"/>
        <v>-1.7203208648337338</v>
      </c>
      <c r="Q79">
        <f t="shared" si="43"/>
        <v>-23.493182485288049</v>
      </c>
      <c r="R79">
        <f t="shared" si="44"/>
        <v>0</v>
      </c>
      <c r="S79">
        <f t="shared" si="28"/>
        <v>1.4165903572597581E-3</v>
      </c>
      <c r="T79">
        <f t="shared" si="29"/>
        <v>-0.84103669487223065</v>
      </c>
      <c r="U79">
        <f t="shared" si="45"/>
        <v>12.981584976693469</v>
      </c>
      <c r="V79">
        <f t="shared" si="46"/>
        <v>33.245022004920486</v>
      </c>
      <c r="W79">
        <f t="shared" si="47"/>
        <v>-12.981584976693469</v>
      </c>
      <c r="Y79">
        <f t="shared" si="48"/>
        <v>8.1853428349671535</v>
      </c>
      <c r="Z79">
        <f t="shared" si="30"/>
        <v>-98.567124963268711</v>
      </c>
      <c r="AA79">
        <f t="shared" si="49"/>
        <v>4.7962421417263172</v>
      </c>
      <c r="AB79">
        <f t="shared" si="50"/>
        <v>131.81214696818918</v>
      </c>
    </row>
    <row r="80" spans="1:28">
      <c r="A80">
        <v>3971.915494694405</v>
      </c>
      <c r="B80" s="270">
        <f t="shared" si="32"/>
        <v>3.9719154946944051</v>
      </c>
      <c r="D80">
        <f t="shared" si="33"/>
        <v>1.1729452106482727E-2</v>
      </c>
      <c r="E80">
        <f t="shared" si="34"/>
        <v>0.469113543596065</v>
      </c>
      <c r="F80">
        <f t="shared" si="35"/>
        <v>8.0024448421124415E-3</v>
      </c>
      <c r="G80">
        <f t="shared" si="25"/>
        <v>0.469113543596065</v>
      </c>
      <c r="H80">
        <f t="shared" si="36"/>
        <v>156.15471548762437</v>
      </c>
      <c r="I80">
        <f t="shared" si="37"/>
        <v>-0.28274634144633987</v>
      </c>
      <c r="J80">
        <f t="shared" si="38"/>
        <v>9.7041613958027195</v>
      </c>
      <c r="K80">
        <f t="shared" si="39"/>
        <v>-0.96063044195183289</v>
      </c>
      <c r="L80">
        <f t="shared" si="40"/>
        <v>0.57148259105637478</v>
      </c>
      <c r="M80" s="268">
        <f t="shared" si="31"/>
        <v>4.5399160760311821</v>
      </c>
      <c r="N80">
        <f t="shared" si="41"/>
        <v>7.4581604825305696</v>
      </c>
      <c r="O80">
        <f t="shared" si="42"/>
        <v>-1.7283217495416301</v>
      </c>
      <c r="Q80">
        <f t="shared" si="43"/>
        <v>-23.493182485288049</v>
      </c>
      <c r="R80">
        <f t="shared" si="44"/>
        <v>0</v>
      </c>
      <c r="S80">
        <f t="shared" si="28"/>
        <v>1.347179900548135E-3</v>
      </c>
      <c r="T80">
        <f t="shared" si="29"/>
        <v>-0.8207124024682565</v>
      </c>
      <c r="U80">
        <f t="shared" si="45"/>
        <v>12.384318876315056</v>
      </c>
      <c r="V80">
        <f t="shared" si="46"/>
        <v>33.951101255124769</v>
      </c>
      <c r="W80">
        <f t="shared" si="47"/>
        <v>-12.384318876315056</v>
      </c>
      <c r="Y80">
        <f t="shared" si="48"/>
        <v>7.8062636000331898</v>
      </c>
      <c r="Z80">
        <f t="shared" si="30"/>
        <v>-99.025541889401921</v>
      </c>
      <c r="AA80">
        <f t="shared" si="49"/>
        <v>4.5780552762818658</v>
      </c>
      <c r="AB80">
        <f t="shared" si="50"/>
        <v>132.97664314452669</v>
      </c>
    </row>
    <row r="81" spans="1:28">
      <c r="A81">
        <v>4163.8972102516482</v>
      </c>
      <c r="B81" s="270">
        <f t="shared" si="32"/>
        <v>4.1638972102516485</v>
      </c>
      <c r="D81">
        <f t="shared" si="33"/>
        <v>1.2296392752867837E-2</v>
      </c>
      <c r="E81">
        <f t="shared" si="34"/>
        <v>0.491781352147379</v>
      </c>
      <c r="F81">
        <f t="shared" si="35"/>
        <v>8.5471366545405766E-3</v>
      </c>
      <c r="G81">
        <f t="shared" si="25"/>
        <v>0.491781352147379</v>
      </c>
      <c r="H81">
        <f t="shared" si="36"/>
        <v>157.35810329754014</v>
      </c>
      <c r="I81">
        <f t="shared" si="37"/>
        <v>-0.29564674960430021</v>
      </c>
      <c r="J81">
        <f t="shared" si="38"/>
        <v>9.6991846634365828</v>
      </c>
      <c r="K81">
        <f t="shared" si="39"/>
        <v>-1.0070623160712029</v>
      </c>
      <c r="L81">
        <f t="shared" si="40"/>
        <v>0.62133554828741233</v>
      </c>
      <c r="M81" s="268">
        <f t="shared" si="31"/>
        <v>4.7562909836775873</v>
      </c>
      <c r="N81">
        <f t="shared" si="41"/>
        <v>6.839170244631493</v>
      </c>
      <c r="O81">
        <f t="shared" si="42"/>
        <v>-1.7365441981082503</v>
      </c>
      <c r="Q81">
        <f t="shared" si="43"/>
        <v>-23.493182485288049</v>
      </c>
      <c r="R81">
        <f t="shared" si="44"/>
        <v>0</v>
      </c>
      <c r="S81">
        <f t="shared" si="28"/>
        <v>1.283994718030967E-3</v>
      </c>
      <c r="T81">
        <f t="shared" si="29"/>
        <v>-0.80037983129247936</v>
      </c>
      <c r="U81">
        <f t="shared" si="45"/>
        <v>11.79941220560211</v>
      </c>
      <c r="V81">
        <f t="shared" si="46"/>
        <v>34.644960170015395</v>
      </c>
      <c r="W81">
        <f t="shared" si="47"/>
        <v>-11.79941220560211</v>
      </c>
      <c r="Y81">
        <f t="shared" si="48"/>
        <v>7.4299805043519322</v>
      </c>
      <c r="Z81">
        <f t="shared" si="30"/>
        <v>-99.496653489532662</v>
      </c>
      <c r="AA81">
        <f t="shared" si="49"/>
        <v>4.3694317012501713</v>
      </c>
      <c r="AB81">
        <f t="shared" si="50"/>
        <v>134.14161365954809</v>
      </c>
    </row>
    <row r="82" spans="1:28">
      <c r="A82">
        <v>4365.1583224016631</v>
      </c>
      <c r="B82" s="270">
        <f t="shared" si="32"/>
        <v>4.3651583224016628</v>
      </c>
      <c r="D82">
        <f t="shared" ref="D82:D145" si="51">B82*$C$9*1000</f>
        <v>1.2890736358368605E-2</v>
      </c>
      <c r="E82">
        <f t="shared" ref="E82:E145" si="52">B82*1000*$C$18/(1+D82^2)</f>
        <v>0.51554378586506933</v>
      </c>
      <c r="F82">
        <f t="shared" ref="F82:F145" si="53">D82*E82+$C$24</f>
        <v>9.1457390247818484E-3</v>
      </c>
      <c r="G82">
        <f t="shared" ref="G82:G145" si="54">E82</f>
        <v>0.51554378586506933</v>
      </c>
      <c r="H82">
        <f t="shared" ref="H82:H145" si="55">($C$40+($C$34*B82*1000)^2)</f>
        <v>158.68063352773936</v>
      </c>
      <c r="I82">
        <f t="shared" ref="I82:I145" si="56">ATAN2($C$41,-(B82*1000))</f>
        <v>-0.30906265607808664</v>
      </c>
      <c r="J82">
        <f t="shared" ref="J82:J145" si="57">$C$48+$C$38*(B82*1000)/TAN($C$50*(B82*1000))</f>
        <v>9.6937140308184411</v>
      </c>
      <c r="K82">
        <f t="shared" ref="K82:K145" si="58">$C$51*B82*1000</f>
        <v>-1.0557384652417079</v>
      </c>
      <c r="L82">
        <f t="shared" ref="L82:L145" si="59">F82*J82-G82*K82+$C$44</f>
        <v>0.67611640799804795</v>
      </c>
      <c r="M82" s="268">
        <f t="shared" ref="M82:M145" si="60">J82*G82+K82*F82+($C$55+$C$65)*B82*1000</f>
        <v>4.9826581653518351</v>
      </c>
      <c r="N82">
        <f t="shared" ref="N82:N145" si="61">H82/(L82^2+M82^2)</f>
        <v>6.2759268482601591</v>
      </c>
      <c r="O82">
        <f t="shared" ref="O82:O145" si="62">I82-ATAN2(L82,M82)</f>
        <v>-1.7449888201163553</v>
      </c>
      <c r="Q82">
        <f t="shared" si="43"/>
        <v>-23.493182485288049</v>
      </c>
      <c r="R82">
        <f t="shared" si="44"/>
        <v>0</v>
      </c>
      <c r="S82">
        <f t="shared" si="28"/>
        <v>1.2264735299735159E-3</v>
      </c>
      <c r="T82">
        <f t="shared" si="29"/>
        <v>-0.78009865721740246</v>
      </c>
      <c r="U82">
        <f t="shared" si="45"/>
        <v>11.227106212434407</v>
      </c>
      <c r="V82">
        <f t="shared" si="46"/>
        <v>35.323144647439761</v>
      </c>
      <c r="W82">
        <f t="shared" si="47"/>
        <v>-11.227106212434407</v>
      </c>
      <c r="Y82">
        <f t="shared" si="48"/>
        <v>7.0567250869498794</v>
      </c>
      <c r="Z82">
        <f t="shared" si="30"/>
        <v>-99.980494690180365</v>
      </c>
      <c r="AA82">
        <f t="shared" si="49"/>
        <v>4.170381125484532</v>
      </c>
      <c r="AB82">
        <f t="shared" si="50"/>
        <v>135.30363933762013</v>
      </c>
    </row>
    <row r="83" spans="1:28">
      <c r="A83">
        <v>4576.1473488633392</v>
      </c>
      <c r="B83" s="270">
        <f t="shared" si="32"/>
        <v>4.5761473488633388</v>
      </c>
      <c r="D83">
        <f t="shared" si="51"/>
        <v>1.3513807439357465E-2</v>
      </c>
      <c r="E83">
        <f t="shared" si="52"/>
        <v>0.54045359832140194</v>
      </c>
      <c r="F83">
        <f t="shared" si="53"/>
        <v>9.8035858576232728E-3</v>
      </c>
      <c r="G83">
        <f t="shared" si="54"/>
        <v>0.54045359832140194</v>
      </c>
      <c r="H83">
        <f t="shared" si="55"/>
        <v>160.13410197355444</v>
      </c>
      <c r="I83">
        <f t="shared" si="56"/>
        <v>-0.32300461200509867</v>
      </c>
      <c r="J83">
        <f t="shared" si="57"/>
        <v>9.687700354137629</v>
      </c>
      <c r="K83">
        <f t="shared" si="58"/>
        <v>-1.1067673660346893</v>
      </c>
      <c r="L83">
        <f t="shared" si="59"/>
        <v>0.73631143170009195</v>
      </c>
      <c r="M83" s="268">
        <f t="shared" si="60"/>
        <v>5.2194295453838375</v>
      </c>
      <c r="N83">
        <f t="shared" si="61"/>
        <v>5.7634123214566841</v>
      </c>
      <c r="O83">
        <f t="shared" si="62"/>
        <v>-1.7536544985898954</v>
      </c>
      <c r="Q83">
        <f t="shared" ref="Q83:Q146" si="63">$P$4+10*LOG((1+($P$6*B83)^2)/(1+($P$8*B83)^2))</f>
        <v>-23.493182485288049</v>
      </c>
      <c r="R83">
        <f t="shared" ref="R83:R146" si="64">DEGREES(ATAN(B83*$P$6)-ATAN(B83*$P$8))</f>
        <v>0</v>
      </c>
      <c r="S83">
        <f t="shared" ref="S83:S146" si="65">((1+($P$24*B83*1000)^2)/((1-$P$28*B83*1000*$P$24*B83*1000)^2+$P$31*(B83*1000)^2))/(1+(B83/fea)^2)</f>
        <v>1.1741051875081196E-3</v>
      </c>
      <c r="T83">
        <f t="shared" ref="T83:T146" si="66">ATAN(B83*1000*$P$24)-ATAN2(1-$P$24*B83*1000*$P$28*B83*1000,B83*1000*$P$30)-ATAN(B83/fea)</f>
        <v>-0.75992853982426845</v>
      </c>
      <c r="U83">
        <f t="shared" ref="U83:U146" si="67">10*LOG(N83*S83)+Q83+$P$21</f>
        <v>10.667612663279257</v>
      </c>
      <c r="V83">
        <f t="shared" ref="V83:V146" si="68">DEGREES(T83+O83)+R83+180</f>
        <v>35.98230044319854</v>
      </c>
      <c r="W83">
        <f t="shared" ref="W83:W146" si="69">-U83</f>
        <v>-10.667612663279257</v>
      </c>
      <c r="Y83">
        <f t="shared" ref="Y83:Y146" si="70">10*LOG(N83)+20*LOG($C$29)</f>
        <v>6.6867432649792429</v>
      </c>
      <c r="Z83">
        <f t="shared" ref="Z83:Z146" si="71">DEGREES(O83)</f>
        <v>-100.47700149333158</v>
      </c>
      <c r="AA83">
        <f t="shared" ref="AA83:AA146" si="72">10*LOG(S83)+Q83+$P$37</f>
        <v>3.9808693983000225</v>
      </c>
      <c r="AB83">
        <f t="shared" ref="AB83:AB146" si="73">DEGREES(T83+R83)+180</f>
        <v>136.45930193653012</v>
      </c>
    </row>
    <row r="84" spans="1:28">
      <c r="A84">
        <v>4797.3344863668963</v>
      </c>
      <c r="B84" s="270">
        <f t="shared" si="32"/>
        <v>4.7973344863668963</v>
      </c>
      <c r="D84">
        <f t="shared" si="51"/>
        <v>1.4166994532432212E-2</v>
      </c>
      <c r="E84">
        <f t="shared" si="52"/>
        <v>0.56656606937156162</v>
      </c>
      <c r="F84">
        <f t="shared" si="53"/>
        <v>1.0526538407048524E-2</v>
      </c>
      <c r="G84">
        <f t="shared" si="54"/>
        <v>0.56656606937156162</v>
      </c>
      <c r="H84">
        <f t="shared" si="55"/>
        <v>161.7314722829361</v>
      </c>
      <c r="I84">
        <f t="shared" si="56"/>
        <v>-0.33748197620031151</v>
      </c>
      <c r="J84">
        <f t="shared" si="57"/>
        <v>9.6810895729610049</v>
      </c>
      <c r="K84">
        <f t="shared" si="58"/>
        <v>-1.1602627382141653</v>
      </c>
      <c r="L84">
        <f t="shared" si="59"/>
        <v>0.80245468427736411</v>
      </c>
      <c r="M84" s="268">
        <f t="shared" si="60"/>
        <v>5.4670261138043017</v>
      </c>
      <c r="N84">
        <f t="shared" si="61"/>
        <v>5.2970601508931408</v>
      </c>
      <c r="O84">
        <f t="shared" si="62"/>
        <v>-1.7625381553809198</v>
      </c>
      <c r="Q84">
        <f t="shared" si="63"/>
        <v>-23.493182485288049</v>
      </c>
      <c r="R84">
        <f t="shared" si="64"/>
        <v>0</v>
      </c>
      <c r="S84">
        <f t="shared" si="65"/>
        <v>1.1264241809738776E-3</v>
      </c>
      <c r="T84">
        <f t="shared" si="66"/>
        <v>-0.73992855788362455</v>
      </c>
      <c r="U84">
        <f t="shared" si="67"/>
        <v>10.121114383134355</v>
      </c>
      <c r="V84">
        <f t="shared" si="68"/>
        <v>36.619218957966865</v>
      </c>
      <c r="W84">
        <f t="shared" si="69"/>
        <v>-10.121114383134355</v>
      </c>
      <c r="Y84">
        <f t="shared" si="70"/>
        <v>6.320295404599614</v>
      </c>
      <c r="Z84">
        <f t="shared" si="71"/>
        <v>-100.98599753410002</v>
      </c>
      <c r="AA84">
        <f t="shared" si="72"/>
        <v>3.8008189785347426</v>
      </c>
      <c r="AB84">
        <f t="shared" si="73"/>
        <v>137.60521649206689</v>
      </c>
    </row>
    <row r="85" spans="1:28">
      <c r="A85">
        <v>5029.2126585044607</v>
      </c>
      <c r="B85" s="270">
        <f t="shared" si="32"/>
        <v>5.029212658504461</v>
      </c>
      <c r="D85">
        <f t="shared" si="51"/>
        <v>1.4851753288820504E-2</v>
      </c>
      <c r="E85">
        <f t="shared" si="52"/>
        <v>0.59393912368259139</v>
      </c>
      <c r="F85">
        <f t="shared" si="53"/>
        <v>1.1321037333512095E-2</v>
      </c>
      <c r="G85">
        <f t="shared" si="54"/>
        <v>0.59393912368259139</v>
      </c>
      <c r="H85">
        <f t="shared" si="55"/>
        <v>163.48699158068266</v>
      </c>
      <c r="I85">
        <f t="shared" si="56"/>
        <v>-0.35250270389819899</v>
      </c>
      <c r="J85">
        <f t="shared" si="57"/>
        <v>9.6738222127657139</v>
      </c>
      <c r="K85">
        <f t="shared" si="58"/>
        <v>-1.2163437981654743</v>
      </c>
      <c r="L85">
        <f t="shared" si="59"/>
        <v>0.87513269604486421</v>
      </c>
      <c r="M85" s="268">
        <f t="shared" si="60"/>
        <v>5.7258767051568258</v>
      </c>
      <c r="N85">
        <f t="shared" si="61"/>
        <v>4.8727147190850184</v>
      </c>
      <c r="O85">
        <f t="shared" si="62"/>
        <v>-1.7716344985201014</v>
      </c>
      <c r="Q85">
        <f t="shared" si="63"/>
        <v>-23.493182485288049</v>
      </c>
      <c r="R85">
        <f t="shared" si="64"/>
        <v>0</v>
      </c>
      <c r="S85">
        <f t="shared" si="65"/>
        <v>1.0830065439391364E-3</v>
      </c>
      <c r="T85">
        <f t="shared" si="66"/>
        <v>-0.72015666313268634</v>
      </c>
      <c r="U85">
        <f t="shared" si="67"/>
        <v>9.5877663526417649</v>
      </c>
      <c r="V85">
        <f t="shared" si="68"/>
        <v>37.230883009294615</v>
      </c>
      <c r="W85">
        <f t="shared" si="69"/>
        <v>-9.5877663526417649</v>
      </c>
      <c r="Y85">
        <f t="shared" si="70"/>
        <v>5.9576562151210615</v>
      </c>
      <c r="Z85">
        <f t="shared" si="71"/>
        <v>-101.50717960497789</v>
      </c>
      <c r="AA85">
        <f t="shared" si="72"/>
        <v>3.6301101375206954</v>
      </c>
      <c r="AB85">
        <f t="shared" si="73"/>
        <v>138.73806261427251</v>
      </c>
    </row>
    <row r="86" spans="1:28">
      <c r="A86">
        <v>5272.2986142282343</v>
      </c>
      <c r="B86" s="270">
        <f t="shared" si="32"/>
        <v>5.2722986142282346</v>
      </c>
      <c r="D86">
        <f t="shared" si="51"/>
        <v>1.5569609718351606E-2</v>
      </c>
      <c r="E86">
        <f t="shared" si="52"/>
        <v>0.62263345444813334</v>
      </c>
      <c r="F86">
        <f t="shared" si="53"/>
        <v>1.2194159883346489E-2</v>
      </c>
      <c r="G86">
        <f t="shared" si="54"/>
        <v>0.62263345444813334</v>
      </c>
      <c r="H86">
        <f t="shared" si="55"/>
        <v>165.41631754014261</v>
      </c>
      <c r="I86">
        <f t="shared" si="56"/>
        <v>-0.36807312241477574</v>
      </c>
      <c r="J86">
        <f t="shared" si="57"/>
        <v>9.6658328359732728</v>
      </c>
      <c r="K86">
        <f t="shared" si="58"/>
        <v>-1.2751355245733345</v>
      </c>
      <c r="L86">
        <f t="shared" si="59"/>
        <v>0.95498957159941467</v>
      </c>
      <c r="M86" s="268">
        <f t="shared" si="60"/>
        <v>5.996416463264393</v>
      </c>
      <c r="N86">
        <f t="shared" si="61"/>
        <v>4.486594376718255</v>
      </c>
      <c r="O86">
        <f t="shared" si="62"/>
        <v>-1.7809357526053735</v>
      </c>
      <c r="Q86">
        <f t="shared" si="63"/>
        <v>-23.493182485288049</v>
      </c>
      <c r="R86">
        <f t="shared" si="64"/>
        <v>0</v>
      </c>
      <c r="S86">
        <f t="shared" si="65"/>
        <v>1.0434661183620299E-3</v>
      </c>
      <c r="T86">
        <f t="shared" si="66"/>
        <v>-0.70066916695273607</v>
      </c>
      <c r="U86">
        <f t="shared" si="67"/>
        <v>9.0676972845149635</v>
      </c>
      <c r="V86">
        <f t="shared" si="68"/>
        <v>37.814511690418158</v>
      </c>
      <c r="W86">
        <f t="shared" si="69"/>
        <v>-9.0676972845149635</v>
      </c>
      <c r="Y86">
        <f t="shared" si="70"/>
        <v>5.5991144353919973</v>
      </c>
      <c r="Z86">
        <f t="shared" si="71"/>
        <v>-102.04010220824281</v>
      </c>
      <c r="AA86">
        <f t="shared" si="72"/>
        <v>3.4685828491229671</v>
      </c>
      <c r="AB86">
        <f t="shared" si="73"/>
        <v>139.85461389866097</v>
      </c>
    </row>
    <row r="87" spans="1:28">
      <c r="A87">
        <v>5527.1340794443577</v>
      </c>
      <c r="B87" s="270">
        <f t="shared" si="32"/>
        <v>5.527134079444358</v>
      </c>
      <c r="D87">
        <f t="shared" si="51"/>
        <v>1.6322163590224887E-2</v>
      </c>
      <c r="E87">
        <f t="shared" si="52"/>
        <v>0.65271265245727772</v>
      </c>
      <c r="F87">
        <f t="shared" si="53"/>
        <v>1.3153682690817289E-2</v>
      </c>
      <c r="G87">
        <f t="shared" si="54"/>
        <v>0.65271265245727772</v>
      </c>
      <c r="H87">
        <f t="shared" si="55"/>
        <v>167.53665803575785</v>
      </c>
      <c r="I87">
        <f t="shared" si="56"/>
        <v>-0.38419769585148961</v>
      </c>
      <c r="J87">
        <f t="shared" si="57"/>
        <v>9.6570494359114463</v>
      </c>
      <c r="K87">
        <f t="shared" si="58"/>
        <v>-1.3367689369413887</v>
      </c>
      <c r="L87">
        <f t="shared" si="59"/>
        <v>1.0427325866002528</v>
      </c>
      <c r="M87" s="268">
        <f t="shared" si="60"/>
        <v>6.2790849372795208</v>
      </c>
      <c r="N87">
        <f t="shared" si="61"/>
        <v>4.1352578256036017</v>
      </c>
      <c r="O87">
        <f t="shared" si="62"/>
        <v>-1.7904313739307398</v>
      </c>
      <c r="Q87">
        <f t="shared" si="63"/>
        <v>-23.493182485288049</v>
      </c>
      <c r="R87">
        <f t="shared" si="64"/>
        <v>0</v>
      </c>
      <c r="S87">
        <f t="shared" si="65"/>
        <v>1.0074511492324271E-3</v>
      </c>
      <c r="T87">
        <f t="shared" si="66"/>
        <v>-0.68152027294459183</v>
      </c>
      <c r="U87">
        <f t="shared" si="67"/>
        <v>8.5610115759986698</v>
      </c>
      <c r="V87">
        <f t="shared" si="68"/>
        <v>38.367603473630254</v>
      </c>
      <c r="W87">
        <f t="shared" si="69"/>
        <v>-8.5610115759986698</v>
      </c>
      <c r="Y87">
        <f t="shared" si="70"/>
        <v>5.2449722803769134</v>
      </c>
      <c r="Z87">
        <f t="shared" si="71"/>
        <v>-102.58416123404072</v>
      </c>
      <c r="AA87">
        <f t="shared" si="72"/>
        <v>3.3160392956217564</v>
      </c>
      <c r="AB87">
        <f t="shared" si="73"/>
        <v>140.95176470767097</v>
      </c>
    </row>
    <row r="88" spans="1:28">
      <c r="A88">
        <v>5794.2869642688102</v>
      </c>
      <c r="B88" s="270">
        <f t="shared" si="32"/>
        <v>5.7942869642688102</v>
      </c>
      <c r="D88">
        <f t="shared" si="51"/>
        <v>1.7111091998153718E-2</v>
      </c>
      <c r="E88">
        <f t="shared" si="52"/>
        <v>0.68424334068151127</v>
      </c>
      <c r="F88">
        <f t="shared" si="53"/>
        <v>1.4208150751525376E-2</v>
      </c>
      <c r="G88">
        <f t="shared" si="54"/>
        <v>0.68424334068151127</v>
      </c>
      <c r="H88">
        <f t="shared" si="55"/>
        <v>169.86692462202419</v>
      </c>
      <c r="I88">
        <f t="shared" si="56"/>
        <v>-0.40087878172826613</v>
      </c>
      <c r="J88">
        <f t="shared" si="57"/>
        <v>9.6473927674772053</v>
      </c>
      <c r="K88">
        <f t="shared" si="58"/>
        <v>-1.4013813875739434</v>
      </c>
      <c r="L88">
        <f t="shared" si="59"/>
        <v>1.1391383170392069</v>
      </c>
      <c r="M88" s="268">
        <f t="shared" si="60"/>
        <v>6.5743237455084884</v>
      </c>
      <c r="N88">
        <f t="shared" si="61"/>
        <v>3.8155735164102196</v>
      </c>
      <c r="O88">
        <f t="shared" si="62"/>
        <v>-1.8001077527647442</v>
      </c>
      <c r="Q88">
        <f t="shared" si="63"/>
        <v>-23.493182485288049</v>
      </c>
      <c r="R88">
        <f t="shared" si="64"/>
        <v>0</v>
      </c>
      <c r="S88">
        <f t="shared" si="65"/>
        <v>9.7464117970287058E-4</v>
      </c>
      <c r="T88">
        <f t="shared" si="66"/>
        <v>-0.66276166622167454</v>
      </c>
      <c r="U88">
        <f t="shared" si="67"/>
        <v>8.0677915139410317</v>
      </c>
      <c r="V88">
        <f t="shared" si="68"/>
        <v>38.887976800240978</v>
      </c>
      <c r="W88">
        <f t="shared" si="69"/>
        <v>-8.0677915139410317</v>
      </c>
      <c r="Y88">
        <f t="shared" si="70"/>
        <v>4.8955446157764921</v>
      </c>
      <c r="Z88">
        <f t="shared" si="71"/>
        <v>-103.13857690219889</v>
      </c>
      <c r="AA88">
        <f t="shared" si="72"/>
        <v>3.1722468981645378</v>
      </c>
      <c r="AB88">
        <f t="shared" si="73"/>
        <v>142.02655370243988</v>
      </c>
    </row>
    <row r="89" spans="1:28">
      <c r="A89">
        <v>6074.3526286358428</v>
      </c>
      <c r="B89" s="270">
        <f t="shared" si="32"/>
        <v>6.0743526286358431</v>
      </c>
      <c r="D89">
        <f t="shared" si="51"/>
        <v>1.7938153097830041E-2</v>
      </c>
      <c r="E89">
        <f t="shared" si="52"/>
        <v>0.71729531453736206</v>
      </c>
      <c r="F89">
        <f t="shared" si="53"/>
        <v>1.5366953168527356E-2</v>
      </c>
      <c r="G89">
        <f t="shared" si="54"/>
        <v>0.71729531453736206</v>
      </c>
      <c r="H89">
        <f t="shared" si="55"/>
        <v>172.42790120776556</v>
      </c>
      <c r="I89">
        <f t="shared" si="56"/>
        <v>-0.4181163832715904</v>
      </c>
      <c r="J89">
        <f t="shared" si="57"/>
        <v>9.6367756075341919</v>
      </c>
      <c r="K89">
        <f t="shared" si="58"/>
        <v>-1.4691168676705901</v>
      </c>
      <c r="L89">
        <f t="shared" si="59"/>
        <v>1.2450593491817332</v>
      </c>
      <c r="M89" s="268">
        <f t="shared" si="60"/>
        <v>6.8825737332400001</v>
      </c>
      <c r="N89">
        <f t="shared" si="61"/>
        <v>3.5246917914728577</v>
      </c>
      <c r="O89">
        <f t="shared" si="62"/>
        <v>-1.8099479059600412</v>
      </c>
      <c r="Q89">
        <f t="shared" si="63"/>
        <v>-23.493182485288049</v>
      </c>
      <c r="R89">
        <f t="shared" si="64"/>
        <v>0</v>
      </c>
      <c r="S89">
        <f t="shared" si="65"/>
        <v>9.447442201703563E-4</v>
      </c>
      <c r="T89">
        <f t="shared" si="66"/>
        <v>-0.64444216765022189</v>
      </c>
      <c r="U89">
        <f t="shared" si="67"/>
        <v>7.5880995954781625</v>
      </c>
      <c r="V89">
        <f t="shared" si="68"/>
        <v>39.373807503328493</v>
      </c>
      <c r="W89">
        <f t="shared" si="69"/>
        <v>-7.5880995954781625</v>
      </c>
      <c r="Y89">
        <f t="shared" si="70"/>
        <v>4.5511578296547892</v>
      </c>
      <c r="Z89">
        <f t="shared" si="71"/>
        <v>-103.70237615005158</v>
      </c>
      <c r="AA89">
        <f t="shared" si="72"/>
        <v>3.0369417658233786</v>
      </c>
      <c r="AB89">
        <f t="shared" si="73"/>
        <v>143.07618365338004</v>
      </c>
    </row>
    <row r="90" spans="1:28">
      <c r="A90">
        <v>6367.9552090791713</v>
      </c>
      <c r="B90" s="270">
        <f t="shared" si="32"/>
        <v>6.3679552090791711</v>
      </c>
      <c r="D90">
        <f t="shared" si="51"/>
        <v>1.8805190025038061E-2</v>
      </c>
      <c r="E90">
        <f t="shared" si="52"/>
        <v>0.75194168797345395</v>
      </c>
      <c r="F90">
        <f t="shared" si="53"/>
        <v>1.6640406330088679E-2</v>
      </c>
      <c r="G90">
        <f t="shared" si="54"/>
        <v>0.75194168797345395</v>
      </c>
      <c r="H90">
        <f t="shared" si="55"/>
        <v>175.24242943014517</v>
      </c>
      <c r="I90">
        <f t="shared" si="56"/>
        <v>-0.43590790197160467</v>
      </c>
      <c r="J90">
        <f t="shared" si="57"/>
        <v>9.6251019372384619</v>
      </c>
      <c r="K90">
        <f t="shared" si="58"/>
        <v>-1.5401263282158157</v>
      </c>
      <c r="L90">
        <f t="shared" si="59"/>
        <v>1.3614316221723581</v>
      </c>
      <c r="M90" s="268">
        <f t="shared" si="60"/>
        <v>7.2042715388929413</v>
      </c>
      <c r="N90">
        <f t="shared" si="61"/>
        <v>3.2600195268186813</v>
      </c>
      <c r="O90">
        <f t="shared" si="62"/>
        <v>-1.8199311638872291</v>
      </c>
      <c r="Q90">
        <f t="shared" si="63"/>
        <v>-23.493182485288049</v>
      </c>
      <c r="R90">
        <f t="shared" si="64"/>
        <v>0</v>
      </c>
      <c r="S90">
        <f t="shared" si="65"/>
        <v>9.1749416702921677E-4</v>
      </c>
      <c r="T90">
        <f t="shared" si="66"/>
        <v>-0.62660745844785637</v>
      </c>
      <c r="U90">
        <f t="shared" si="67"/>
        <v>7.1219808211232163</v>
      </c>
      <c r="V90">
        <f t="shared" si="68"/>
        <v>39.823662524448764</v>
      </c>
      <c r="W90">
        <f t="shared" si="69"/>
        <v>-7.1219808211232163</v>
      </c>
      <c r="Y90">
        <f t="shared" si="70"/>
        <v>4.2121483726164604</v>
      </c>
      <c r="Z90">
        <f t="shared" si="71"/>
        <v>-104.27437469506997</v>
      </c>
      <c r="AA90">
        <f t="shared" si="72"/>
        <v>2.909832448506755</v>
      </c>
      <c r="AB90">
        <f t="shared" si="73"/>
        <v>144.09803721951874</v>
      </c>
    </row>
    <row r="91" spans="1:28">
      <c r="A91">
        <v>6675.7490096430647</v>
      </c>
      <c r="B91" s="270">
        <f t="shared" si="32"/>
        <v>6.6757490096430647</v>
      </c>
      <c r="D91">
        <f t="shared" si="51"/>
        <v>1.9714135003149749E-2</v>
      </c>
      <c r="E91">
        <f t="shared" si="52"/>
        <v>0.78825904551898451</v>
      </c>
      <c r="F91">
        <f t="shared" si="53"/>
        <v>1.8039845240815224E-2</v>
      </c>
      <c r="G91">
        <f t="shared" si="54"/>
        <v>0.78825904551898451</v>
      </c>
      <c r="H91">
        <f t="shared" si="55"/>
        <v>178.33561238178788</v>
      </c>
      <c r="I91">
        <f t="shared" si="56"/>
        <v>-0.45424789592596365</v>
      </c>
      <c r="J91">
        <f t="shared" si="57"/>
        <v>9.612266037530345</v>
      </c>
      <c r="K91">
        <f t="shared" si="58"/>
        <v>-1.6145680163787903</v>
      </c>
      <c r="L91">
        <f t="shared" si="59"/>
        <v>1.4892824592840452</v>
      </c>
      <c r="M91" s="268">
        <f t="shared" si="60"/>
        <v>7.5398454689527581</v>
      </c>
      <c r="N91">
        <f t="shared" si="61"/>
        <v>3.019197049309827</v>
      </c>
      <c r="O91">
        <f t="shared" si="62"/>
        <v>-1.8300328565023047</v>
      </c>
      <c r="Q91">
        <f t="shared" si="63"/>
        <v>-23.493182485288049</v>
      </c>
      <c r="R91">
        <f t="shared" si="64"/>
        <v>0</v>
      </c>
      <c r="S91">
        <f t="shared" si="65"/>
        <v>8.9264844889132961E-4</v>
      </c>
      <c r="T91">
        <f t="shared" si="66"/>
        <v>-0.60929987769075844</v>
      </c>
      <c r="U91">
        <f t="shared" si="67"/>
        <v>6.6694648185186196</v>
      </c>
      <c r="V91">
        <f t="shared" si="68"/>
        <v>40.23652950263002</v>
      </c>
      <c r="W91">
        <f t="shared" si="69"/>
        <v>-6.6694648185186196</v>
      </c>
      <c r="Y91">
        <f t="shared" si="70"/>
        <v>3.8788609423590374</v>
      </c>
      <c r="Z91">
        <f t="shared" si="71"/>
        <v>-104.85315904785227</v>
      </c>
      <c r="AA91">
        <f t="shared" si="72"/>
        <v>2.7906038761595866</v>
      </c>
      <c r="AB91">
        <f t="shared" si="73"/>
        <v>145.08968855048226</v>
      </c>
    </row>
    <row r="92" spans="1:28">
      <c r="A92">
        <v>6998.4199600227394</v>
      </c>
      <c r="B92" s="270">
        <f t="shared" si="32"/>
        <v>6.9984199600227397</v>
      </c>
      <c r="D92">
        <f t="shared" si="51"/>
        <v>2.0667013649154995E-2</v>
      </c>
      <c r="E92">
        <f t="shared" si="52"/>
        <v>0.8263276004154021</v>
      </c>
      <c r="F92">
        <f t="shared" si="53"/>
        <v>1.9577723796458609E-2</v>
      </c>
      <c r="G92">
        <f t="shared" si="54"/>
        <v>0.8263276004154021</v>
      </c>
      <c r="H92">
        <f t="shared" si="55"/>
        <v>181.73503850807646</v>
      </c>
      <c r="I92">
        <f t="shared" si="56"/>
        <v>-0.47312785036244176</v>
      </c>
      <c r="J92">
        <f t="shared" si="57"/>
        <v>9.5981514879399388</v>
      </c>
      <c r="K92">
        <f t="shared" si="58"/>
        <v>-1.6926078281729466</v>
      </c>
      <c r="L92">
        <f t="shared" si="59"/>
        <v>1.6297393479231608</v>
      </c>
      <c r="M92" s="268">
        <f t="shared" si="60"/>
        <v>7.8897105660671842</v>
      </c>
      <c r="N92">
        <f t="shared" si="61"/>
        <v>2.8000771246221792</v>
      </c>
      <c r="O92">
        <f t="shared" si="62"/>
        <v>-1.8402240041310187</v>
      </c>
      <c r="Q92">
        <f t="shared" si="63"/>
        <v>-23.493182485288049</v>
      </c>
      <c r="R92">
        <f t="shared" si="64"/>
        <v>0</v>
      </c>
      <c r="S92">
        <f t="shared" si="65"/>
        <v>8.6998587997678815E-4</v>
      </c>
      <c r="T92">
        <f t="shared" si="66"/>
        <v>-0.59255829254785797</v>
      </c>
      <c r="U92">
        <f t="shared" si="67"/>
        <v>6.2305676640627894</v>
      </c>
      <c r="V92">
        <f t="shared" si="68"/>
        <v>40.611841926157069</v>
      </c>
      <c r="W92">
        <f t="shared" si="69"/>
        <v>-6.2305676640627894</v>
      </c>
      <c r="Y92">
        <f t="shared" si="70"/>
        <v>3.5516462946026364</v>
      </c>
      <c r="Z92">
        <f t="shared" si="71"/>
        <v>-105.43706879537234</v>
      </c>
      <c r="AA92">
        <f t="shared" si="72"/>
        <v>2.6789213694601486</v>
      </c>
      <c r="AB92">
        <f t="shared" si="73"/>
        <v>146.04891072152941</v>
      </c>
    </row>
    <row r="93" spans="1:28">
      <c r="A93">
        <v>7336.6871441836001</v>
      </c>
      <c r="B93" s="270">
        <f t="shared" si="32"/>
        <v>7.3366871441836006</v>
      </c>
      <c r="D93">
        <f t="shared" si="51"/>
        <v>2.1665949487822644E-2</v>
      </c>
      <c r="E93">
        <f t="shared" si="52"/>
        <v>0.86623135893392667</v>
      </c>
      <c r="F93">
        <f t="shared" si="53"/>
        <v>2.1267724867430421E-2</v>
      </c>
      <c r="G93">
        <f t="shared" si="54"/>
        <v>0.86623135893392667</v>
      </c>
      <c r="H93">
        <f t="shared" si="55"/>
        <v>185.47102767158708</v>
      </c>
      <c r="I93">
        <f t="shared" si="56"/>
        <v>-0.49253596752115519</v>
      </c>
      <c r="J93">
        <f t="shared" si="57"/>
        <v>9.5826300576060746</v>
      </c>
      <c r="K93">
        <f t="shared" si="58"/>
        <v>-1.7744196781612736</v>
      </c>
      <c r="L93">
        <f t="shared" si="59"/>
        <v>1.7840395327415042</v>
      </c>
      <c r="M93" s="268">
        <f t="shared" si="60"/>
        <v>8.2542627359416461</v>
      </c>
      <c r="N93">
        <f t="shared" si="61"/>
        <v>2.6007058298374153</v>
      </c>
      <c r="O93">
        <f t="shared" si="62"/>
        <v>-1.8504710192272673</v>
      </c>
      <c r="Q93">
        <f t="shared" si="63"/>
        <v>-23.493182485288049</v>
      </c>
      <c r="R93">
        <f t="shared" si="64"/>
        <v>0</v>
      </c>
      <c r="S93">
        <f t="shared" si="65"/>
        <v>8.4930470212847553E-4</v>
      </c>
      <c r="T93">
        <f t="shared" si="66"/>
        <v>-0.57641803860140384</v>
      </c>
      <c r="U93">
        <f t="shared" si="67"/>
        <v>5.8052932854210155</v>
      </c>
      <c r="V93">
        <f t="shared" si="68"/>
        <v>40.949499639936363</v>
      </c>
      <c r="W93">
        <f t="shared" si="69"/>
        <v>-5.8052932854210155</v>
      </c>
      <c r="Y93">
        <f t="shared" si="70"/>
        <v>3.230858670576132</v>
      </c>
      <c r="Z93">
        <f t="shared" si="71"/>
        <v>-106.02417951299422</v>
      </c>
      <c r="AA93">
        <f t="shared" si="72"/>
        <v>2.5744346148448898</v>
      </c>
      <c r="AB93">
        <f t="shared" si="73"/>
        <v>146.9736791529306</v>
      </c>
    </row>
    <row r="94" spans="1:28">
      <c r="A94">
        <v>7691.3044028661034</v>
      </c>
      <c r="B94" s="270">
        <f t="shared" si="32"/>
        <v>7.6913044028661037</v>
      </c>
      <c r="D94">
        <f t="shared" si="51"/>
        <v>2.2713168684052962E-2</v>
      </c>
      <c r="E94">
        <f t="shared" si="52"/>
        <v>0.90805829095775459</v>
      </c>
      <c r="F94">
        <f t="shared" si="53"/>
        <v>2.3124881137476322E-2</v>
      </c>
      <c r="G94">
        <f t="shared" si="54"/>
        <v>0.90805829095775459</v>
      </c>
      <c r="H94">
        <f t="shared" si="55"/>
        <v>189.5769015783419</v>
      </c>
      <c r="I94">
        <f t="shared" si="56"/>
        <v>-0.51245698371514437</v>
      </c>
      <c r="J94">
        <f t="shared" si="57"/>
        <v>9.5655604759771933</v>
      </c>
      <c r="K94">
        <f t="shared" si="58"/>
        <v>-1.8601858870312662</v>
      </c>
      <c r="L94">
        <f t="shared" si="59"/>
        <v>1.9535404904988884</v>
      </c>
      <c r="M94" s="268">
        <f t="shared" si="60"/>
        <v>8.6338717768642539</v>
      </c>
      <c r="N94">
        <f t="shared" si="61"/>
        <v>2.4193051408607134</v>
      </c>
      <c r="O94">
        <f t="shared" si="62"/>
        <v>-1.8607354258688349</v>
      </c>
      <c r="Q94">
        <f t="shared" si="63"/>
        <v>-23.493182485288049</v>
      </c>
      <c r="R94">
        <f t="shared" si="64"/>
        <v>0</v>
      </c>
      <c r="S94">
        <f t="shared" si="65"/>
        <v>8.3042079850987509E-4</v>
      </c>
      <c r="T94">
        <f t="shared" si="66"/>
        <v>-0.56091092553401023</v>
      </c>
      <c r="U94">
        <f t="shared" si="67"/>
        <v>5.3936343495650689</v>
      </c>
      <c r="V94">
        <f t="shared" si="68"/>
        <v>41.249884591362331</v>
      </c>
      <c r="W94">
        <f t="shared" si="69"/>
        <v>-5.3936343495650689</v>
      </c>
      <c r="Y94">
        <f t="shared" si="70"/>
        <v>2.9168528414014379</v>
      </c>
      <c r="Z94">
        <f t="shared" si="71"/>
        <v>-106.6122866927621</v>
      </c>
      <c r="AA94">
        <f t="shared" si="72"/>
        <v>2.4767815081636329</v>
      </c>
      <c r="AB94">
        <f t="shared" si="73"/>
        <v>147.86217128412443</v>
      </c>
    </row>
    <row r="95" spans="1:28">
      <c r="A95">
        <v>8063.0620135472855</v>
      </c>
      <c r="B95" s="270">
        <f t="shared" si="32"/>
        <v>8.0630620135472846</v>
      </c>
      <c r="D95">
        <f t="shared" si="51"/>
        <v>2.3811005003967128E-2</v>
      </c>
      <c r="E95">
        <f t="shared" si="52"/>
        <v>0.95190050687844696</v>
      </c>
      <c r="F95">
        <f t="shared" si="53"/>
        <v>2.5165707732561545E-2</v>
      </c>
      <c r="G95">
        <f t="shared" si="54"/>
        <v>0.95190050687844696</v>
      </c>
      <c r="H95">
        <f t="shared" si="55"/>
        <v>194.08928097783902</v>
      </c>
      <c r="I95">
        <f t="shared" si="56"/>
        <v>-0.53287202180276394</v>
      </c>
      <c r="J95">
        <f t="shared" si="57"/>
        <v>9.5467870690152807</v>
      </c>
      <c r="K95">
        <f t="shared" si="58"/>
        <v>-1.9500975879032147</v>
      </c>
      <c r="L95">
        <f t="shared" si="59"/>
        <v>2.1397313595885716</v>
      </c>
      <c r="M95" s="268">
        <f t="shared" si="60"/>
        <v>9.0288731302695524</v>
      </c>
      <c r="N95">
        <f t="shared" si="61"/>
        <v>2.2542570798236978</v>
      </c>
      <c r="O95">
        <f t="shared" si="62"/>
        <v>-1.8709736040177578</v>
      </c>
      <c r="Q95">
        <f t="shared" si="63"/>
        <v>-23.493182485288049</v>
      </c>
      <c r="R95">
        <f t="shared" si="64"/>
        <v>0</v>
      </c>
      <c r="S95">
        <f t="shared" si="65"/>
        <v>8.1316606351851818E-4</v>
      </c>
      <c r="T95">
        <f t="shared" si="66"/>
        <v>-0.54606530182892199</v>
      </c>
      <c r="U95">
        <f t="shared" si="67"/>
        <v>4.9955725671548663</v>
      </c>
      <c r="V95">
        <f t="shared" si="68"/>
        <v>41.513871776066907</v>
      </c>
      <c r="W95">
        <f t="shared" si="69"/>
        <v>-4.9955725671548663</v>
      </c>
      <c r="Y95">
        <f t="shared" si="70"/>
        <v>2.6099807816947491</v>
      </c>
      <c r="Z95">
        <f t="shared" si="71"/>
        <v>-107.19889109059845</v>
      </c>
      <c r="AA95">
        <f t="shared" si="72"/>
        <v>2.3855917854601145</v>
      </c>
      <c r="AB95">
        <f t="shared" si="73"/>
        <v>148.71276286666534</v>
      </c>
    </row>
    <row r="96" spans="1:28">
      <c r="A96">
        <v>8452.7884516029098</v>
      </c>
      <c r="B96" s="270">
        <f t="shared" si="32"/>
        <v>8.4527884516029097</v>
      </c>
      <c r="D96">
        <f t="shared" si="51"/>
        <v>2.4961905015790084E-2</v>
      </c>
      <c r="E96">
        <f t="shared" si="52"/>
        <v>0.99785444082043495</v>
      </c>
      <c r="F96">
        <f t="shared" si="53"/>
        <v>2.7408347771344023E-2</v>
      </c>
      <c r="G96">
        <f t="shared" si="54"/>
        <v>0.99785444082043495</v>
      </c>
      <c r="H96">
        <f t="shared" si="55"/>
        <v>199.04841228762143</v>
      </c>
      <c r="I96">
        <f t="shared" si="56"/>
        <v>-0.55375848742265754</v>
      </c>
      <c r="J96">
        <f t="shared" si="57"/>
        <v>9.5261382448224357</v>
      </c>
      <c r="K96">
        <f t="shared" si="58"/>
        <v>-2.0443551522773262</v>
      </c>
      <c r="L96">
        <f t="shared" si="59"/>
        <v>2.3442454012832887</v>
      </c>
      <c r="M96" s="268">
        <f t="shared" si="60"/>
        <v>9.4395581410944533</v>
      </c>
      <c r="N96">
        <f t="shared" si="61"/>
        <v>2.1040892812095495</v>
      </c>
      <c r="O96">
        <f t="shared" si="62"/>
        <v>-1.8811365655175942</v>
      </c>
      <c r="Q96">
        <f t="shared" si="63"/>
        <v>-23.493182485288049</v>
      </c>
      <c r="R96">
        <f t="shared" si="64"/>
        <v>0</v>
      </c>
      <c r="S96">
        <f t="shared" si="65"/>
        <v>7.9738691479855329E-4</v>
      </c>
      <c r="T96">
        <f t="shared" si="66"/>
        <v>-0.53190617096872028</v>
      </c>
      <c r="U96">
        <f t="shared" si="67"/>
        <v>4.6110783732627993</v>
      </c>
      <c r="V96">
        <f t="shared" si="68"/>
        <v>41.742835414635323</v>
      </c>
      <c r="W96">
        <f t="shared" si="69"/>
        <v>-4.6110783732627993</v>
      </c>
      <c r="Y96">
        <f t="shared" si="70"/>
        <v>2.310587998129277</v>
      </c>
      <c r="Z96">
        <f t="shared" si="71"/>
        <v>-107.78118589189302</v>
      </c>
      <c r="AA96">
        <f t="shared" si="72"/>
        <v>2.3004903751335277</v>
      </c>
      <c r="AB96">
        <f t="shared" si="73"/>
        <v>149.52402130652834</v>
      </c>
    </row>
    <row r="97" spans="1:28">
      <c r="A97">
        <v>8861.3522365949939</v>
      </c>
      <c r="B97" s="270">
        <f t="shared" si="32"/>
        <v>8.8613522365949944</v>
      </c>
      <c r="D97">
        <f t="shared" si="51"/>
        <v>2.6168433542116815E-2</v>
      </c>
      <c r="E97">
        <f t="shared" si="52"/>
        <v>1.0460210401645489</v>
      </c>
      <c r="F97">
        <f t="shared" si="53"/>
        <v>2.9872732073201898E-2</v>
      </c>
      <c r="G97">
        <f t="shared" si="54"/>
        <v>1.0460210401645489</v>
      </c>
      <c r="H97">
        <f t="shared" si="55"/>
        <v>204.49852655558468</v>
      </c>
      <c r="I97">
        <f t="shared" si="56"/>
        <v>-0.57509001709186769</v>
      </c>
      <c r="J97">
        <f t="shared" si="57"/>
        <v>9.5034248104071448</v>
      </c>
      <c r="K97">
        <f t="shared" si="58"/>
        <v>-2.143168636568904</v>
      </c>
      <c r="L97">
        <f t="shared" si="59"/>
        <v>2.5688735736481836</v>
      </c>
      <c r="M97" s="268">
        <f t="shared" si="60"/>
        <v>9.8661625820419907</v>
      </c>
      <c r="N97">
        <f t="shared" si="61"/>
        <v>1.9674618477541064</v>
      </c>
      <c r="O97">
        <f t="shared" si="62"/>
        <v>-1.8911697683529507</v>
      </c>
      <c r="Q97">
        <f t="shared" si="63"/>
        <v>-23.493182485288049</v>
      </c>
      <c r="R97">
        <f t="shared" si="64"/>
        <v>0</v>
      </c>
      <c r="S97">
        <f t="shared" si="65"/>
        <v>7.8294293447552757E-4</v>
      </c>
      <c r="T97">
        <f t="shared" si="66"/>
        <v>-0.5184553509184191</v>
      </c>
      <c r="U97">
        <f t="shared" si="67"/>
        <v>4.2401099749970683</v>
      </c>
      <c r="V97">
        <f t="shared" si="68"/>
        <v>41.938650457042911</v>
      </c>
      <c r="W97">
        <f t="shared" si="69"/>
        <v>-4.2401099749970683</v>
      </c>
      <c r="Y97">
        <f t="shared" si="70"/>
        <v>2.0190095530006547</v>
      </c>
      <c r="Z97">
        <f t="shared" si="71"/>
        <v>-108.35604606935763</v>
      </c>
      <c r="AA97">
        <f t="shared" si="72"/>
        <v>2.221100421996411</v>
      </c>
      <c r="AB97">
        <f t="shared" si="73"/>
        <v>150.29469652640054</v>
      </c>
    </row>
    <row r="98" spans="1:28">
      <c r="A98">
        <v>9289.6638677993778</v>
      </c>
      <c r="B98" s="270">
        <f t="shared" si="32"/>
        <v>9.2896638677993781</v>
      </c>
      <c r="D98">
        <f t="shared" si="51"/>
        <v>2.7433279375713243E-2</v>
      </c>
      <c r="E98">
        <f t="shared" si="52"/>
        <v>1.0965059612899777</v>
      </c>
      <c r="F98">
        <f t="shared" si="53"/>
        <v>3.2580754373202972E-2</v>
      </c>
      <c r="G98">
        <f t="shared" si="54"/>
        <v>1.0965059612899777</v>
      </c>
      <c r="H98">
        <f t="shared" si="55"/>
        <v>210.48823396165128</v>
      </c>
      <c r="I98">
        <f t="shared" si="56"/>
        <v>-0.59683648559151226</v>
      </c>
      <c r="J98">
        <f t="shared" si="57"/>
        <v>9.4784380987479793</v>
      </c>
      <c r="K98">
        <f t="shared" si="58"/>
        <v>-2.2467582502267427</v>
      </c>
      <c r="L98">
        <f t="shared" si="59"/>
        <v>2.815579302525208</v>
      </c>
      <c r="M98" s="268">
        <f t="shared" si="60"/>
        <v>10.308853155364087</v>
      </c>
      <c r="N98">
        <f t="shared" si="61"/>
        <v>1.8431553783281251</v>
      </c>
      <c r="O98">
        <f t="shared" si="62"/>
        <v>-1.9010129747964346</v>
      </c>
      <c r="Q98">
        <f t="shared" si="63"/>
        <v>-23.493182485288049</v>
      </c>
      <c r="R98">
        <f t="shared" si="64"/>
        <v>0</v>
      </c>
      <c r="S98">
        <f t="shared" si="65"/>
        <v>7.6970562787440631E-4</v>
      </c>
      <c r="T98">
        <f t="shared" si="66"/>
        <v>-0.5057316684036276</v>
      </c>
      <c r="U98">
        <f t="shared" si="67"/>
        <v>3.8826117867761596</v>
      </c>
      <c r="V98">
        <f t="shared" si="68"/>
        <v>42.103689578917255</v>
      </c>
      <c r="W98">
        <f t="shared" si="69"/>
        <v>-3.8826117867761596</v>
      </c>
      <c r="Y98">
        <f t="shared" si="70"/>
        <v>1.7355658371983356</v>
      </c>
      <c r="Z98">
        <f t="shared" si="71"/>
        <v>-108.92002025544524</v>
      </c>
      <c r="AA98">
        <f t="shared" si="72"/>
        <v>2.1470459495778229</v>
      </c>
      <c r="AB98">
        <f t="shared" si="73"/>
        <v>151.02370983436248</v>
      </c>
    </row>
    <row r="99" spans="1:28">
      <c r="A99">
        <v>9738.67785328635</v>
      </c>
      <c r="B99" s="270">
        <f t="shared" si="32"/>
        <v>9.7386778532863492</v>
      </c>
      <c r="D99">
        <f t="shared" si="51"/>
        <v>2.8759261271588291E-2</v>
      </c>
      <c r="E99">
        <f t="shared" si="52"/>
        <v>1.1494197713925545</v>
      </c>
      <c r="F99">
        <f t="shared" si="53"/>
        <v>3.5556463516207761E-2</v>
      </c>
      <c r="G99">
        <f t="shared" si="54"/>
        <v>1.1494197713925545</v>
      </c>
      <c r="H99">
        <f t="shared" si="55"/>
        <v>217.07095737741039</v>
      </c>
      <c r="I99">
        <f t="shared" si="56"/>
        <v>-0.61896407892413907</v>
      </c>
      <c r="J99">
        <f t="shared" si="57"/>
        <v>9.4509478823275064</v>
      </c>
      <c r="K99">
        <f t="shared" si="58"/>
        <v>-2.3553548464778644</v>
      </c>
      <c r="L99">
        <f t="shared" si="59"/>
        <v>3.0865145367957196</v>
      </c>
      <c r="M99" s="268">
        <f t="shared" si="60"/>
        <v>10.767711638341654</v>
      </c>
      <c r="N99">
        <f t="shared" si="61"/>
        <v>1.7300600600774234</v>
      </c>
      <c r="O99">
        <f t="shared" si="62"/>
        <v>-1.9106001576733787</v>
      </c>
      <c r="Q99">
        <f t="shared" si="63"/>
        <v>-23.493182485288049</v>
      </c>
      <c r="R99">
        <f t="shared" si="64"/>
        <v>0</v>
      </c>
      <c r="S99">
        <f t="shared" si="65"/>
        <v>7.5755728902756996E-4</v>
      </c>
      <c r="T99">
        <f t="shared" si="66"/>
        <v>-0.49375117958477122</v>
      </c>
      <c r="U99">
        <f t="shared" si="67"/>
        <v>3.5385123021000879</v>
      </c>
      <c r="V99">
        <f t="shared" si="68"/>
        <v>42.240815908472399</v>
      </c>
      <c r="W99">
        <f t="shared" si="69"/>
        <v>-3.5385123021000879</v>
      </c>
      <c r="Y99">
        <f t="shared" si="70"/>
        <v>1.4605581604011644</v>
      </c>
      <c r="Z99">
        <f t="shared" si="71"/>
        <v>-109.46932537171422</v>
      </c>
      <c r="AA99">
        <f t="shared" si="72"/>
        <v>2.0779541416989318</v>
      </c>
      <c r="AB99">
        <f t="shared" si="73"/>
        <v>151.71014128018663</v>
      </c>
    </row>
    <row r="100" spans="1:28">
      <c r="A100">
        <v>10209.394837076818</v>
      </c>
      <c r="B100" s="270">
        <f t="shared" si="32"/>
        <v>10.209394837076818</v>
      </c>
      <c r="D100">
        <f t="shared" si="51"/>
        <v>3.014933422869261E-2</v>
      </c>
      <c r="E100">
        <f t="shared" si="52"/>
        <v>1.2048781561645086</v>
      </c>
      <c r="F100">
        <f t="shared" si="53"/>
        <v>3.8826274235054657E-2</v>
      </c>
      <c r="G100">
        <f t="shared" si="54"/>
        <v>1.2048781561645086</v>
      </c>
      <c r="H100">
        <f t="shared" si="55"/>
        <v>224.30540885069894</v>
      </c>
      <c r="I100">
        <f t="shared" si="56"/>
        <v>-0.64143543751271492</v>
      </c>
      <c r="J100">
        <f t="shared" si="57"/>
        <v>9.4207000458151366</v>
      </c>
      <c r="K100">
        <f t="shared" si="58"/>
        <v>-2.4692004367923843</v>
      </c>
      <c r="L100">
        <f t="shared" si="59"/>
        <v>3.3840371769852458</v>
      </c>
      <c r="M100" s="268">
        <f t="shared" si="60"/>
        <v>11.242716283012387</v>
      </c>
      <c r="N100">
        <f t="shared" si="61"/>
        <v>1.6271657261618191</v>
      </c>
      <c r="O100">
        <f t="shared" si="62"/>
        <v>-1.9198594570724166</v>
      </c>
      <c r="Q100">
        <f t="shared" si="63"/>
        <v>-23.493182485288049</v>
      </c>
      <c r="R100">
        <f t="shared" si="64"/>
        <v>0</v>
      </c>
      <c r="S100">
        <f t="shared" si="65"/>
        <v>7.4638996324179847E-4</v>
      </c>
      <c r="T100">
        <f t="shared" si="66"/>
        <v>-0.4825274091138923</v>
      </c>
      <c r="U100">
        <f t="shared" si="67"/>
        <v>3.2077214749444778</v>
      </c>
      <c r="V100">
        <f t="shared" si="68"/>
        <v>42.353371809864456</v>
      </c>
      <c r="W100">
        <f t="shared" si="69"/>
        <v>-3.2077214749444778</v>
      </c>
      <c r="Y100">
        <f t="shared" si="70"/>
        <v>1.194264237594014</v>
      </c>
      <c r="Z100">
        <f t="shared" si="71"/>
        <v>-109.99984414852712</v>
      </c>
      <c r="AA100">
        <f t="shared" si="72"/>
        <v>2.0134572373504653</v>
      </c>
      <c r="AB100">
        <f t="shared" si="73"/>
        <v>152.35321595839156</v>
      </c>
    </row>
    <row r="101" spans="1:28">
      <c r="A101">
        <v>10702.86382911387</v>
      </c>
      <c r="B101" s="270">
        <f t="shared" si="32"/>
        <v>10.70286382911387</v>
      </c>
      <c r="D101">
        <f t="shared" si="51"/>
        <v>3.1606596075241099E-2</v>
      </c>
      <c r="E101">
        <f t="shared" si="52"/>
        <v>1.2630021330345613</v>
      </c>
      <c r="F101">
        <f t="shared" si="53"/>
        <v>4.2419198260991303E-2</v>
      </c>
      <c r="G101">
        <f t="shared" si="54"/>
        <v>1.2630021330345613</v>
      </c>
      <c r="H101">
        <f t="shared" si="55"/>
        <v>232.25611326493419</v>
      </c>
      <c r="I101">
        <f t="shared" si="56"/>
        <v>-0.66420987224878991</v>
      </c>
      <c r="J101">
        <f t="shared" si="57"/>
        <v>9.3874139864725326</v>
      </c>
      <c r="K101">
        <f t="shared" si="58"/>
        <v>-2.5885487302148631</v>
      </c>
      <c r="L101">
        <f t="shared" si="59"/>
        <v>3.7107299668126865</v>
      </c>
      <c r="M101" s="268">
        <f t="shared" si="60"/>
        <v>11.733720015342081</v>
      </c>
      <c r="N101">
        <f t="shared" si="61"/>
        <v>1.5335527885542404</v>
      </c>
      <c r="O101">
        <f t="shared" si="62"/>
        <v>-1.9287131874430952</v>
      </c>
      <c r="Q101">
        <f t="shared" si="63"/>
        <v>-23.493182485288049</v>
      </c>
      <c r="R101">
        <f t="shared" si="64"/>
        <v>0</v>
      </c>
      <c r="S101">
        <f t="shared" si="65"/>
        <v>7.3610449788074814E-4</v>
      </c>
      <c r="T101">
        <f t="shared" si="66"/>
        <v>-0.47207160016695365</v>
      </c>
      <c r="U101">
        <f t="shared" si="67"/>
        <v>2.8901277027668968</v>
      </c>
      <c r="V101">
        <f t="shared" si="68"/>
        <v>42.445164150732467</v>
      </c>
      <c r="W101">
        <f t="shared" si="69"/>
        <v>-2.8901277027668968</v>
      </c>
      <c r="Y101">
        <f t="shared" si="70"/>
        <v>0.93693365885418545</v>
      </c>
      <c r="Z101">
        <f t="shared" si="71"/>
        <v>-110.5071255317138</v>
      </c>
      <c r="AA101">
        <f t="shared" si="72"/>
        <v>1.9531940439127098</v>
      </c>
      <c r="AB101">
        <f t="shared" si="73"/>
        <v>152.95228968244626</v>
      </c>
    </row>
    <row r="102" spans="1:28">
      <c r="A102">
        <v>11220.184543019659</v>
      </c>
      <c r="B102" s="270">
        <f t="shared" si="32"/>
        <v>11.220184543019659</v>
      </c>
      <c r="D102">
        <f t="shared" si="51"/>
        <v>3.3134294372335976E-2</v>
      </c>
      <c r="E102">
        <f t="shared" si="52"/>
        <v>1.3239182695660237</v>
      </c>
      <c r="F102">
        <f t="shared" si="53"/>
        <v>4.6367097668714281E-2</v>
      </c>
      <c r="G102">
        <f t="shared" si="54"/>
        <v>1.3239182695660237</v>
      </c>
      <c r="H102">
        <f t="shared" si="55"/>
        <v>240.99398384378071</v>
      </c>
      <c r="I102">
        <f t="shared" si="56"/>
        <v>-0.68724365355279227</v>
      </c>
      <c r="J102">
        <f t="shared" si="57"/>
        <v>9.350779706012295</v>
      </c>
      <c r="K102">
        <f t="shared" si="58"/>
        <v>-2.7136656987641627</v>
      </c>
      <c r="L102">
        <f t="shared" si="59"/>
        <v>4.0694209360330564</v>
      </c>
      <c r="M102" s="268">
        <f t="shared" si="60"/>
        <v>12.240424902114947</v>
      </c>
      <c r="N102">
        <f t="shared" si="61"/>
        <v>1.4483839625874695</v>
      </c>
      <c r="O102">
        <f t="shared" si="62"/>
        <v>-1.9370778922138658</v>
      </c>
      <c r="Q102">
        <f t="shared" si="63"/>
        <v>-23.493182485288049</v>
      </c>
      <c r="R102">
        <f t="shared" si="64"/>
        <v>0</v>
      </c>
      <c r="S102">
        <f t="shared" si="65"/>
        <v>7.2660967334008152E-4</v>
      </c>
      <c r="T102">
        <f t="shared" si="66"/>
        <v>-0.46239296879919667</v>
      </c>
      <c r="U102">
        <f t="shared" si="67"/>
        <v>2.5855945151129518</v>
      </c>
      <c r="V102">
        <f t="shared" si="68"/>
        <v>42.520446599329773</v>
      </c>
      <c r="W102">
        <f t="shared" si="69"/>
        <v>-2.5855945151129518</v>
      </c>
      <c r="Y102">
        <f t="shared" si="70"/>
        <v>0.68878343246636065</v>
      </c>
      <c r="Z102">
        <f t="shared" si="71"/>
        <v>-110.9863878119519</v>
      </c>
      <c r="AA102">
        <f t="shared" si="72"/>
        <v>1.8968110826465931</v>
      </c>
      <c r="AB102">
        <f t="shared" si="73"/>
        <v>153.50683441128166</v>
      </c>
    </row>
    <row r="103" spans="1:28">
      <c r="A103">
        <v>11762.509846847239</v>
      </c>
      <c r="B103" s="270">
        <f t="shared" si="32"/>
        <v>11.762509846847239</v>
      </c>
      <c r="D103">
        <f t="shared" si="51"/>
        <v>3.4735833651274917E-2</v>
      </c>
      <c r="E103">
        <f t="shared" si="52"/>
        <v>1.3877589064915983</v>
      </c>
      <c r="F103">
        <f t="shared" si="53"/>
        <v>5.0704962523967341E-2</v>
      </c>
      <c r="G103">
        <f t="shared" si="54"/>
        <v>1.3877589064915983</v>
      </c>
      <c r="H103">
        <f t="shared" si="55"/>
        <v>250.59695463413829</v>
      </c>
      <c r="I103">
        <f t="shared" si="56"/>
        <v>-0.71049037088915201</v>
      </c>
      <c r="J103">
        <f t="shared" si="57"/>
        <v>9.3104545519046251</v>
      </c>
      <c r="K103">
        <f t="shared" si="58"/>
        <v>-2.8448301701617682</v>
      </c>
      <c r="L103">
        <f t="shared" si="59"/>
        <v>4.4632054792706564</v>
      </c>
      <c r="M103" s="268">
        <f t="shared" si="60"/>
        <v>12.762352263092605</v>
      </c>
      <c r="N103">
        <f t="shared" si="61"/>
        <v>1.3708967063080393</v>
      </c>
      <c r="O103">
        <f t="shared" si="62"/>
        <v>-1.9448644399403641</v>
      </c>
      <c r="Q103">
        <f t="shared" si="63"/>
        <v>-23.493182485288049</v>
      </c>
      <c r="R103">
        <f t="shared" si="64"/>
        <v>0</v>
      </c>
      <c r="S103">
        <f t="shared" si="65"/>
        <v>7.1782140695411255E-4</v>
      </c>
      <c r="T103">
        <f t="shared" si="66"/>
        <v>-0.45349895680830182</v>
      </c>
      <c r="U103">
        <f t="shared" si="67"/>
        <v>2.2939570757415737</v>
      </c>
      <c r="V103">
        <f t="shared" si="68"/>
        <v>42.583899627641273</v>
      </c>
      <c r="W103">
        <f t="shared" si="69"/>
        <v>-2.2939570757415737</v>
      </c>
      <c r="Y103">
        <f t="shared" si="70"/>
        <v>0.44999368857174615</v>
      </c>
      <c r="Z103">
        <f t="shared" si="71"/>
        <v>-111.43252413365744</v>
      </c>
      <c r="AA103">
        <f t="shared" si="72"/>
        <v>1.843963387169822</v>
      </c>
      <c r="AB103">
        <f t="shared" si="73"/>
        <v>154.01642376129871</v>
      </c>
    </row>
    <row r="104" spans="1:28">
      <c r="A104">
        <v>12331.0483322891</v>
      </c>
      <c r="B104" s="270">
        <f t="shared" si="32"/>
        <v>12.3310483322891</v>
      </c>
      <c r="D104">
        <f t="shared" si="51"/>
        <v>3.6414783000673301E-2</v>
      </c>
      <c r="E104">
        <f t="shared" si="52"/>
        <v>1.454662384724549</v>
      </c>
      <c r="F104">
        <f t="shared" si="53"/>
        <v>5.5471215078986391E-2</v>
      </c>
      <c r="G104">
        <f t="shared" si="54"/>
        <v>1.454662384724549</v>
      </c>
      <c r="H104">
        <f t="shared" si="55"/>
        <v>261.15067560864151</v>
      </c>
      <c r="I104">
        <f t="shared" si="56"/>
        <v>-0.73390135732671968</v>
      </c>
      <c r="J104">
        <f t="shared" si="57"/>
        <v>9.2660595593038746</v>
      </c>
      <c r="K104">
        <f t="shared" si="58"/>
        <v>-2.9823344492095432</v>
      </c>
      <c r="L104">
        <f t="shared" si="59"/>
        <v>4.8954701487193999</v>
      </c>
      <c r="M104" s="268">
        <f t="shared" si="60"/>
        <v>13.298807698740415</v>
      </c>
      <c r="N104">
        <f t="shared" si="61"/>
        <v>1.3003963032408783</v>
      </c>
      <c r="O104">
        <f t="shared" si="62"/>
        <v>-1.9519781526992164</v>
      </c>
      <c r="Q104">
        <f t="shared" si="63"/>
        <v>-23.493182485288049</v>
      </c>
      <c r="R104">
        <f t="shared" si="64"/>
        <v>0</v>
      </c>
      <c r="S104">
        <f t="shared" si="65"/>
        <v>7.0966202328300075E-4</v>
      </c>
      <c r="T104">
        <f t="shared" si="66"/>
        <v>-0.44539547815345737</v>
      </c>
      <c r="U104">
        <f t="shared" si="67"/>
        <v>2.0150186011604561</v>
      </c>
      <c r="V104">
        <f t="shared" si="68"/>
        <v>42.640609036187612</v>
      </c>
      <c r="W104">
        <f t="shared" si="69"/>
        <v>-2.0150186011604561</v>
      </c>
      <c r="Y104">
        <f t="shared" si="70"/>
        <v>0.2207036207098596</v>
      </c>
      <c r="Z104">
        <f t="shared" si="71"/>
        <v>-111.84010985140804</v>
      </c>
      <c r="AA104">
        <f t="shared" si="72"/>
        <v>1.7943149804506007</v>
      </c>
      <c r="AB104">
        <f t="shared" si="73"/>
        <v>154.48071888759563</v>
      </c>
    </row>
    <row r="105" spans="1:28">
      <c r="A105">
        <v>12927.067008067625</v>
      </c>
      <c r="B105" s="270">
        <f t="shared" si="32"/>
        <v>12.927067008067624</v>
      </c>
      <c r="D105">
        <f t="shared" si="51"/>
        <v>3.8174884020307741E-2</v>
      </c>
      <c r="E105">
        <f t="shared" si="52"/>
        <v>1.5247732755236298</v>
      </c>
      <c r="F105">
        <f t="shared" si="53"/>
        <v>6.0708042950379314E-2</v>
      </c>
      <c r="G105">
        <f t="shared" si="54"/>
        <v>1.5247732755236298</v>
      </c>
      <c r="H105">
        <f t="shared" si="55"/>
        <v>272.74927658736158</v>
      </c>
      <c r="I105">
        <f t="shared" si="56"/>
        <v>-0.75742617092220832</v>
      </c>
      <c r="J105">
        <f t="shared" si="57"/>
        <v>9.2171753366157034</v>
      </c>
      <c r="K105">
        <f t="shared" si="58"/>
        <v>-3.126484969201591</v>
      </c>
      <c r="L105">
        <f t="shared" si="59"/>
        <v>5.3699182276185757</v>
      </c>
      <c r="M105" s="268">
        <f t="shared" si="60"/>
        <v>13.848840176711226</v>
      </c>
      <c r="N105">
        <f t="shared" si="61"/>
        <v>1.2362495218988521</v>
      </c>
      <c r="O105">
        <f t="shared" si="62"/>
        <v>-1.9583189541519759</v>
      </c>
      <c r="Q105">
        <f t="shared" si="63"/>
        <v>-23.493182485288049</v>
      </c>
      <c r="R105">
        <f t="shared" si="64"/>
        <v>0</v>
      </c>
      <c r="S105">
        <f t="shared" si="65"/>
        <v>7.0205958489537301E-4</v>
      </c>
      <c r="T105">
        <f t="shared" si="66"/>
        <v>-0.43808715482274646</v>
      </c>
      <c r="U105">
        <f t="shared" si="67"/>
        <v>1.7485467839522215</v>
      </c>
      <c r="V105">
        <f t="shared" si="68"/>
        <v>42.696043956380777</v>
      </c>
      <c r="W105">
        <f t="shared" si="69"/>
        <v>-1.7485467839522215</v>
      </c>
      <c r="Y105">
        <f t="shared" si="70"/>
        <v>1.007725033194351E-3</v>
      </c>
      <c r="Z105">
        <f t="shared" si="71"/>
        <v>-112.20341101338158</v>
      </c>
      <c r="AA105">
        <f t="shared" si="72"/>
        <v>1.7475390589190241</v>
      </c>
      <c r="AB105">
        <f t="shared" si="73"/>
        <v>154.89945496976236</v>
      </c>
    </row>
    <row r="106" spans="1:28">
      <c r="A106">
        <v>13551.894123510374</v>
      </c>
      <c r="B106" s="270">
        <f t="shared" si="32"/>
        <v>13.551894123510374</v>
      </c>
      <c r="D106">
        <f t="shared" si="51"/>
        <v>4.0020059159408067E-2</v>
      </c>
      <c r="E106">
        <f t="shared" si="52"/>
        <v>1.5982426128004901</v>
      </c>
      <c r="F106">
        <f t="shared" si="53"/>
        <v>6.6461763915362529E-2</v>
      </c>
      <c r="G106">
        <f t="shared" si="54"/>
        <v>1.5982426128004901</v>
      </c>
      <c r="H106">
        <f t="shared" si="55"/>
        <v>285.49620679222369</v>
      </c>
      <c r="I106">
        <f t="shared" si="56"/>
        <v>-0.78101312211709795</v>
      </c>
      <c r="J106">
        <f t="shared" si="57"/>
        <v>9.1633374279432065</v>
      </c>
      <c r="K106">
        <f t="shared" si="58"/>
        <v>-3.2776029748220599</v>
      </c>
      <c r="L106">
        <f t="shared" si="59"/>
        <v>5.8905971350522623</v>
      </c>
      <c r="M106" s="268">
        <f t="shared" si="60"/>
        <v>14.411194169215912</v>
      </c>
      <c r="N106">
        <f t="shared" si="61"/>
        <v>1.1778787892889491</v>
      </c>
      <c r="O106">
        <f t="shared" si="62"/>
        <v>-1.9637815216116479</v>
      </c>
      <c r="Q106">
        <f t="shared" si="63"/>
        <v>-23.493182485288049</v>
      </c>
      <c r="R106">
        <f t="shared" si="64"/>
        <v>0</v>
      </c>
      <c r="S106">
        <f t="shared" si="65"/>
        <v>6.949472783897196E-4</v>
      </c>
      <c r="T106">
        <f t="shared" si="66"/>
        <v>-0.43157753883241667</v>
      </c>
      <c r="U106">
        <f t="shared" si="67"/>
        <v>1.4942702851604537</v>
      </c>
      <c r="V106">
        <f t="shared" si="68"/>
        <v>42.756035418132853</v>
      </c>
      <c r="W106">
        <f t="shared" si="69"/>
        <v>-1.4942702851604537</v>
      </c>
      <c r="Y106">
        <f t="shared" si="70"/>
        <v>-0.20904762871687943</v>
      </c>
      <c r="Z106">
        <f t="shared" si="71"/>
        <v>-112.51639307412628</v>
      </c>
      <c r="AA106">
        <f t="shared" si="72"/>
        <v>1.7033179138773349</v>
      </c>
      <c r="AB106">
        <f t="shared" si="73"/>
        <v>155.27242849225914</v>
      </c>
    </row>
    <row r="107" spans="1:28">
      <c r="A107">
        <v>14206.922128601838</v>
      </c>
      <c r="B107" s="270">
        <f t="shared" si="32"/>
        <v>14.206922128601839</v>
      </c>
      <c r="D107">
        <f t="shared" si="51"/>
        <v>4.1954420457977537E-2</v>
      </c>
      <c r="E107">
        <f t="shared" si="52"/>
        <v>1.6752281263389479</v>
      </c>
      <c r="F107">
        <f t="shared" si="53"/>
        <v>7.278322517545413E-2</v>
      </c>
      <c r="G107">
        <f t="shared" si="54"/>
        <v>1.6752281263389479</v>
      </c>
      <c r="H107">
        <f t="shared" si="55"/>
        <v>299.50515752220542</v>
      </c>
      <c r="I107">
        <f t="shared" si="56"/>
        <v>-0.80460983415975307</v>
      </c>
      <c r="J107">
        <f t="shared" si="57"/>
        <v>9.1040310738556407</v>
      </c>
      <c r="K107">
        <f t="shared" si="58"/>
        <v>-3.4360252380505614</v>
      </c>
      <c r="L107">
        <f t="shared" si="59"/>
        <v>6.4619276892827742</v>
      </c>
      <c r="M107" s="268">
        <f t="shared" si="60"/>
        <v>14.984253653329958</v>
      </c>
      <c r="N107">
        <f t="shared" si="61"/>
        <v>1.1247568187592833</v>
      </c>
      <c r="O107">
        <f t="shared" si="62"/>
        <v>-1.9682554237499685</v>
      </c>
      <c r="Q107">
        <f t="shared" si="63"/>
        <v>-23.493182485288049</v>
      </c>
      <c r="R107">
        <f t="shared" si="64"/>
        <v>0</v>
      </c>
      <c r="S107">
        <f t="shared" si="65"/>
        <v>6.8826285099566665E-4</v>
      </c>
      <c r="T107">
        <f t="shared" si="66"/>
        <v>-0.4258693177561596</v>
      </c>
      <c r="U107">
        <f t="shared" si="67"/>
        <v>1.2518753265707403</v>
      </c>
      <c r="V107">
        <f t="shared" si="68"/>
        <v>42.82675668384968</v>
      </c>
      <c r="W107">
        <f t="shared" si="69"/>
        <v>-1.2518753265707403</v>
      </c>
      <c r="Y107">
        <f t="shared" si="70"/>
        <v>-0.40946729419600958</v>
      </c>
      <c r="Z107">
        <f t="shared" si="71"/>
        <v>-112.77272878460661</v>
      </c>
      <c r="AA107">
        <f t="shared" si="72"/>
        <v>1.661342620766753</v>
      </c>
      <c r="AB107">
        <f t="shared" si="73"/>
        <v>155.59948546845629</v>
      </c>
    </row>
    <row r="108" spans="1:28">
      <c r="A108">
        <v>14893.610777109172</v>
      </c>
      <c r="B108" s="270">
        <f t="shared" si="32"/>
        <v>14.893610777109172</v>
      </c>
      <c r="D108">
        <f t="shared" si="51"/>
        <v>4.3982278710624434E-2</v>
      </c>
      <c r="E108">
        <f t="shared" si="52"/>
        <v>1.7558944744418699</v>
      </c>
      <c r="F108">
        <f t="shared" si="53"/>
        <v>7.9728240161347733E-2</v>
      </c>
      <c r="G108">
        <f t="shared" si="54"/>
        <v>1.7558944744418699</v>
      </c>
      <c r="H108">
        <f t="shared" si="55"/>
        <v>314.90107617877788</v>
      </c>
      <c r="I108">
        <f t="shared" si="56"/>
        <v>-0.82816382195694715</v>
      </c>
      <c r="J108">
        <f t="shared" si="57"/>
        <v>9.038685277632311</v>
      </c>
      <c r="K108">
        <f t="shared" si="58"/>
        <v>-3.6021048086708474</v>
      </c>
      <c r="L108">
        <f t="shared" si="59"/>
        <v>7.0887352245007644</v>
      </c>
      <c r="M108" s="268">
        <f t="shared" si="60"/>
        <v>15.56597657089211</v>
      </c>
      <c r="N108">
        <f t="shared" si="61"/>
        <v>1.0764016347723915</v>
      </c>
      <c r="O108">
        <f t="shared" si="62"/>
        <v>-1.9716252234766207</v>
      </c>
      <c r="Q108">
        <f t="shared" si="63"/>
        <v>-23.493182485288049</v>
      </c>
      <c r="R108">
        <f t="shared" si="64"/>
        <v>0</v>
      </c>
      <c r="S108">
        <f t="shared" si="65"/>
        <v>6.8194809366970463E-4</v>
      </c>
      <c r="T108">
        <f t="shared" si="66"/>
        <v>-0.42096450180635581</v>
      </c>
      <c r="U108">
        <f t="shared" si="67"/>
        <v>1.021002371573374</v>
      </c>
      <c r="V108">
        <f t="shared" si="68"/>
        <v>42.914706634920378</v>
      </c>
      <c r="W108">
        <f t="shared" si="69"/>
        <v>-1.021002371573374</v>
      </c>
      <c r="Y108">
        <f t="shared" si="70"/>
        <v>-0.60031015473124016</v>
      </c>
      <c r="Z108">
        <f t="shared" si="71"/>
        <v>-112.96580408674812</v>
      </c>
      <c r="AA108">
        <f t="shared" si="72"/>
        <v>1.6213125263046138</v>
      </c>
      <c r="AB108">
        <f t="shared" si="73"/>
        <v>155.88051072166849</v>
      </c>
    </row>
    <row r="109" spans="1:28">
      <c r="A109">
        <v>15613.490379696526</v>
      </c>
      <c r="B109" s="270">
        <f t="shared" si="32"/>
        <v>15.613490379696527</v>
      </c>
      <c r="D109">
        <f t="shared" si="51"/>
        <v>4.6108153073324554E-2</v>
      </c>
      <c r="E109">
        <f t="shared" si="52"/>
        <v>1.8404134742276843</v>
      </c>
      <c r="F109">
        <f t="shared" si="53"/>
        <v>8.7358066187899125E-2</v>
      </c>
      <c r="G109">
        <f t="shared" si="54"/>
        <v>1.8404134742276843</v>
      </c>
      <c r="H109">
        <f t="shared" si="55"/>
        <v>331.82128068577907</v>
      </c>
      <c r="I109">
        <f t="shared" si="56"/>
        <v>-0.85162307384633418</v>
      </c>
      <c r="J109">
        <f t="shared" si="57"/>
        <v>8.9666660667317082</v>
      </c>
      <c r="K109">
        <f t="shared" si="58"/>
        <v>-3.7762118010550867</v>
      </c>
      <c r="L109">
        <f t="shared" si="59"/>
        <v>7.7762825119789385</v>
      </c>
      <c r="M109" s="268">
        <f t="shared" si="60"/>
        <v>16.153818086057697</v>
      </c>
      <c r="N109">
        <f t="shared" si="61"/>
        <v>1.0323719385452739</v>
      </c>
      <c r="O109">
        <f t="shared" si="62"/>
        <v>-1.9737705241696102</v>
      </c>
      <c r="Q109">
        <f t="shared" si="63"/>
        <v>-23.493182485288049</v>
      </c>
      <c r="R109">
        <f t="shared" si="64"/>
        <v>0</v>
      </c>
      <c r="S109">
        <f t="shared" si="65"/>
        <v>6.7594836715521194E-4</v>
      </c>
      <c r="T109">
        <f t="shared" si="66"/>
        <v>-0.41686459101615331</v>
      </c>
      <c r="U109">
        <f t="shared" si="67"/>
        <v>0.80124283326841805</v>
      </c>
      <c r="V109">
        <f t="shared" si="68"/>
        <v>43.026697544084328</v>
      </c>
      <c r="W109">
        <f t="shared" si="69"/>
        <v>-0.80124283326841805</v>
      </c>
      <c r="Y109">
        <f t="shared" si="70"/>
        <v>-0.78169172903715234</v>
      </c>
      <c r="Z109">
        <f t="shared" si="71"/>
        <v>-113.08872076224291</v>
      </c>
      <c r="AA109">
        <f t="shared" si="72"/>
        <v>1.5829345623055673</v>
      </c>
      <c r="AB109">
        <f t="shared" si="73"/>
        <v>156.11541830632723</v>
      </c>
    </row>
    <row r="110" spans="1:28">
      <c r="A110">
        <v>16368.165214278113</v>
      </c>
      <c r="B110" s="270">
        <f t="shared" si="32"/>
        <v>16.368165214278115</v>
      </c>
      <c r="D110">
        <f t="shared" si="51"/>
        <v>4.8336781134524921E-2</v>
      </c>
      <c r="E110">
        <f t="shared" si="52"/>
        <v>1.9289643274601511</v>
      </c>
      <c r="F110">
        <f t="shared" si="53"/>
        <v>9.5739926512747389E-2</v>
      </c>
      <c r="G110">
        <f t="shared" si="54"/>
        <v>1.9289643274601511</v>
      </c>
      <c r="H110">
        <f t="shared" si="55"/>
        <v>350.41668424336586</v>
      </c>
      <c r="I110">
        <f t="shared" si="56"/>
        <v>-0.87493662063581457</v>
      </c>
      <c r="J110">
        <f t="shared" si="57"/>
        <v>8.8872688179328865</v>
      </c>
      <c r="K110">
        <f t="shared" si="58"/>
        <v>-3.9587342189772272</v>
      </c>
      <c r="L110">
        <f t="shared" si="59"/>
        <v>8.530304377868049</v>
      </c>
      <c r="M110" s="268">
        <f t="shared" si="60"/>
        <v>16.744640666856739</v>
      </c>
      <c r="N110">
        <f t="shared" si="61"/>
        <v>0.99226275892282978</v>
      </c>
      <c r="O110">
        <f t="shared" si="62"/>
        <v>-1.9745659369790403</v>
      </c>
      <c r="Q110">
        <f t="shared" si="63"/>
        <v>-23.493182485288049</v>
      </c>
      <c r="R110">
        <f t="shared" si="64"/>
        <v>0</v>
      </c>
      <c r="S110">
        <f t="shared" si="65"/>
        <v>6.702121680193119E-4</v>
      </c>
      <c r="T110">
        <f t="shared" si="66"/>
        <v>-0.41357072150123753</v>
      </c>
      <c r="U110">
        <f t="shared" si="67"/>
        <v>0.59213569145769895</v>
      </c>
      <c r="V110">
        <f t="shared" si="68"/>
        <v>43.169848568604834</v>
      </c>
      <c r="W110">
        <f t="shared" si="69"/>
        <v>-0.59213569145769895</v>
      </c>
      <c r="Y110">
        <f t="shared" si="70"/>
        <v>-0.95378672192759062</v>
      </c>
      <c r="Z110">
        <f t="shared" si="71"/>
        <v>-113.13429455919389</v>
      </c>
      <c r="AA110">
        <f t="shared" si="72"/>
        <v>1.5459224133852913</v>
      </c>
      <c r="AB110">
        <f t="shared" si="73"/>
        <v>156.30414312779871</v>
      </c>
    </row>
    <row r="111" spans="1:28">
      <c r="A111">
        <v>17159.317101209977</v>
      </c>
      <c r="B111" s="270">
        <f t="shared" si="32"/>
        <v>17.159317101209979</v>
      </c>
      <c r="D111">
        <f t="shared" si="51"/>
        <v>5.0673129473032236E-2</v>
      </c>
      <c r="E111">
        <f t="shared" si="52"/>
        <v>2.0217338394051345</v>
      </c>
      <c r="F111">
        <f t="shared" si="53"/>
        <v>0.10494758060418695</v>
      </c>
      <c r="G111">
        <f t="shared" si="54"/>
        <v>2.0217338394051345</v>
      </c>
      <c r="H111">
        <f t="shared" si="55"/>
        <v>370.85314133975805</v>
      </c>
      <c r="I111">
        <f t="shared" si="56"/>
        <v>-0.89805507688860187</v>
      </c>
      <c r="J111">
        <f t="shared" si="57"/>
        <v>8.7997094883758251</v>
      </c>
      <c r="K111">
        <f t="shared" si="58"/>
        <v>-4.1500788202935386</v>
      </c>
      <c r="L111">
        <f t="shared" si="59"/>
        <v>9.3570438320479674</v>
      </c>
      <c r="M111" s="268">
        <f t="shared" si="60"/>
        <v>17.334608639683399</v>
      </c>
      <c r="N111">
        <f t="shared" si="61"/>
        <v>0.95570133231185916</v>
      </c>
      <c r="O111">
        <f t="shared" si="62"/>
        <v>-1.9738809474792194</v>
      </c>
      <c r="Q111">
        <f t="shared" si="63"/>
        <v>-23.493182485288049</v>
      </c>
      <c r="R111">
        <f t="shared" si="64"/>
        <v>0</v>
      </c>
      <c r="S111">
        <f t="shared" si="65"/>
        <v>6.6469073221436413E-4</v>
      </c>
      <c r="T111">
        <f t="shared" si="66"/>
        <v>-0.41108379011809448</v>
      </c>
      <c r="U111">
        <f t="shared" si="67"/>
        <v>0.39316383692153778</v>
      </c>
      <c r="V111">
        <f t="shared" si="68"/>
        <v>43.351586248148067</v>
      </c>
      <c r="W111">
        <f t="shared" si="69"/>
        <v>-0.39316383692153778</v>
      </c>
      <c r="Y111">
        <f t="shared" si="70"/>
        <v>-1.1168317270014487</v>
      </c>
      <c r="Z111">
        <f t="shared" si="71"/>
        <v>-113.09504755184338</v>
      </c>
      <c r="AA111">
        <f t="shared" si="72"/>
        <v>1.5099955639229918</v>
      </c>
      <c r="AB111">
        <f t="shared" si="73"/>
        <v>156.44663379999145</v>
      </c>
    </row>
    <row r="112" spans="1:28">
      <c r="A112">
        <v>17988.709151287883</v>
      </c>
      <c r="B112" s="270">
        <f t="shared" si="32"/>
        <v>17.988709151287882</v>
      </c>
      <c r="D112">
        <f t="shared" si="51"/>
        <v>5.3122404726214524E-2</v>
      </c>
      <c r="E112">
        <f t="shared" si="52"/>
        <v>2.1189166277602234</v>
      </c>
      <c r="F112">
        <f t="shared" si="53"/>
        <v>0.11506194668098424</v>
      </c>
      <c r="G112">
        <f t="shared" si="54"/>
        <v>2.1189166277602234</v>
      </c>
      <c r="H112">
        <f t="shared" si="55"/>
        <v>393.31292702600422</v>
      </c>
      <c r="I112">
        <f t="shared" si="56"/>
        <v>-0.92093114079410143</v>
      </c>
      <c r="J112">
        <f t="shared" si="57"/>
        <v>8.7031145622715265</v>
      </c>
      <c r="K112">
        <f t="shared" si="58"/>
        <v>-4.3506720234173057</v>
      </c>
      <c r="L112">
        <f t="shared" si="59"/>
        <v>10.263289420109958</v>
      </c>
      <c r="M112" s="268">
        <f t="shared" si="60"/>
        <v>17.919064406432184</v>
      </c>
      <c r="N112">
        <f t="shared" si="61"/>
        <v>0.9223431539824074</v>
      </c>
      <c r="O112">
        <f t="shared" si="62"/>
        <v>-1.9715796616103873</v>
      </c>
      <c r="Q112">
        <f t="shared" si="63"/>
        <v>-23.493182485288049</v>
      </c>
      <c r="R112">
        <f t="shared" si="64"/>
        <v>0</v>
      </c>
      <c r="S112">
        <f t="shared" si="65"/>
        <v>6.5933767424404695E-4</v>
      </c>
      <c r="T112">
        <f t="shared" si="66"/>
        <v>-0.40940455708971729</v>
      </c>
      <c r="U112">
        <f t="shared" si="67"/>
        <v>0.20374989232033158</v>
      </c>
      <c r="V112">
        <f t="shared" si="68"/>
        <v>43.579653181230242</v>
      </c>
      <c r="W112">
        <f t="shared" si="69"/>
        <v>-0.20374989232033158</v>
      </c>
      <c r="Y112">
        <f t="shared" si="70"/>
        <v>-1.2711283554844131</v>
      </c>
      <c r="Z112">
        <f t="shared" si="71"/>
        <v>-112.96319358410621</v>
      </c>
      <c r="AA112">
        <f t="shared" si="72"/>
        <v>1.474878247804746</v>
      </c>
      <c r="AB112">
        <f t="shared" si="73"/>
        <v>156.54284676533644</v>
      </c>
    </row>
    <row r="113" spans="1:28">
      <c r="A113">
        <v>18858.189694904057</v>
      </c>
      <c r="B113" s="270">
        <f t="shared" si="32"/>
        <v>18.858189694904056</v>
      </c>
      <c r="D113">
        <f t="shared" si="51"/>
        <v>5.5690065193182522E-2</v>
      </c>
      <c r="E113">
        <f t="shared" si="52"/>
        <v>2.2207153181894599</v>
      </c>
      <c r="F113">
        <f t="shared" si="53"/>
        <v>0.12617178084547009</v>
      </c>
      <c r="G113">
        <f t="shared" si="54"/>
        <v>2.2207153181894599</v>
      </c>
      <c r="H113">
        <f t="shared" si="55"/>
        <v>417.9963626475926</v>
      </c>
      <c r="I113">
        <f t="shared" si="56"/>
        <v>-0.94352004094842612</v>
      </c>
      <c r="J113">
        <f t="shared" si="57"/>
        <v>8.596509482638675</v>
      </c>
      <c r="K113">
        <f t="shared" si="58"/>
        <v>-4.56096085760782</v>
      </c>
      <c r="L113">
        <f t="shared" si="59"/>
        <v>11.256413376668943</v>
      </c>
      <c r="M113" s="268">
        <f t="shared" si="60"/>
        <v>18.492382952299373</v>
      </c>
      <c r="N113">
        <f t="shared" si="61"/>
        <v>0.89186814058094932</v>
      </c>
      <c r="O113">
        <f t="shared" si="62"/>
        <v>-1.9675204137516951</v>
      </c>
      <c r="Q113">
        <f t="shared" si="63"/>
        <v>-23.493182485288049</v>
      </c>
      <c r="R113">
        <f t="shared" si="64"/>
        <v>0</v>
      </c>
      <c r="S113">
        <f t="shared" si="65"/>
        <v>6.5410866054638065E-4</v>
      </c>
      <c r="T113">
        <f t="shared" si="66"/>
        <v>-0.40853372635073987</v>
      </c>
      <c r="U113">
        <f t="shared" si="67"/>
        <v>2.3251184106612754E-2</v>
      </c>
      <c r="V113">
        <f t="shared" si="68"/>
        <v>43.862125877544486</v>
      </c>
      <c r="W113">
        <f t="shared" si="69"/>
        <v>-2.3251184106612754E-2</v>
      </c>
      <c r="Y113">
        <f t="shared" si="70"/>
        <v>-1.4170471386209165</v>
      </c>
      <c r="Z113">
        <f t="shared" si="71"/>
        <v>-112.73061581380563</v>
      </c>
      <c r="AA113">
        <f t="shared" si="72"/>
        <v>1.4402983227275357</v>
      </c>
      <c r="AB113">
        <f t="shared" si="73"/>
        <v>156.59274169135011</v>
      </c>
    </row>
    <row r="114" spans="1:28">
      <c r="A114">
        <v>19769.696401118654</v>
      </c>
      <c r="B114" s="270">
        <f t="shared" si="32"/>
        <v>19.769696401118654</v>
      </c>
      <c r="D114">
        <f t="shared" si="51"/>
        <v>5.8381832998807642E-2</v>
      </c>
      <c r="E114">
        <f t="shared" si="52"/>
        <v>2.3273407224076119</v>
      </c>
      <c r="F114">
        <f t="shared" si="53"/>
        <v>0.13837441738692555</v>
      </c>
      <c r="G114">
        <f t="shared" si="54"/>
        <v>2.3273407224076119</v>
      </c>
      <c r="H114">
        <f t="shared" si="55"/>
        <v>445.12360253297629</v>
      </c>
      <c r="I114">
        <f t="shared" si="56"/>
        <v>-0.96577992082449804</v>
      </c>
      <c r="J114">
        <f t="shared" si="57"/>
        <v>8.4788052867880239</v>
      </c>
      <c r="K114">
        <f t="shared" si="58"/>
        <v>-4.7814139591913314</v>
      </c>
      <c r="L114">
        <f t="shared" si="59"/>
        <v>12.3444099836479</v>
      </c>
      <c r="M114" s="268">
        <f t="shared" si="60"/>
        <v>19.047800581224489</v>
      </c>
      <c r="N114">
        <f t="shared" si="61"/>
        <v>0.863976840442919</v>
      </c>
      <c r="O114">
        <f t="shared" si="62"/>
        <v>-1.9615552240801521</v>
      </c>
      <c r="Q114">
        <f t="shared" si="63"/>
        <v>-23.493182485288049</v>
      </c>
      <c r="R114">
        <f t="shared" si="64"/>
        <v>0</v>
      </c>
      <c r="S114">
        <f t="shared" si="65"/>
        <v>6.489611162406486E-4</v>
      </c>
      <c r="T114">
        <f t="shared" si="66"/>
        <v>-0.40847200348401652</v>
      </c>
      <c r="U114">
        <f t="shared" si="67"/>
        <v>-0.14904654171880338</v>
      </c>
      <c r="V114">
        <f t="shared" si="68"/>
        <v>44.207442529481597</v>
      </c>
      <c r="W114">
        <f t="shared" si="69"/>
        <v>0.14904654171880338</v>
      </c>
      <c r="Y114">
        <f t="shared" si="70"/>
        <v>-1.555032631043644</v>
      </c>
      <c r="Z114">
        <f t="shared" si="71"/>
        <v>-112.38883562163119</v>
      </c>
      <c r="AA114">
        <f t="shared" si="72"/>
        <v>1.4059860893248342</v>
      </c>
      <c r="AB114">
        <f t="shared" si="73"/>
        <v>156.59627815111278</v>
      </c>
    </row>
    <row r="115" spans="1:28">
      <c r="A115">
        <v>20725.260595825759</v>
      </c>
      <c r="B115" s="270">
        <f t="shared" si="32"/>
        <v>20.725260595825759</v>
      </c>
      <c r="D115">
        <f t="shared" si="51"/>
        <v>6.1203706845685407E-2</v>
      </c>
      <c r="E115">
        <f t="shared" si="52"/>
        <v>2.4390119940873394</v>
      </c>
      <c r="F115">
        <f t="shared" si="53"/>
        <v>0.15177657507923212</v>
      </c>
      <c r="G115">
        <f t="shared" si="54"/>
        <v>2.4390119940873394</v>
      </c>
      <c r="H115">
        <f t="shared" si="55"/>
        <v>474.93659757469749</v>
      </c>
      <c r="I115">
        <f t="shared" si="56"/>
        <v>-0.98767215446262702</v>
      </c>
      <c r="J115">
        <f t="shared" si="57"/>
        <v>8.348783100418931</v>
      </c>
      <c r="K115">
        <f t="shared" si="58"/>
        <v>-5.0125226159341558</v>
      </c>
      <c r="L115">
        <f t="shared" si="59"/>
        <v>13.53593330999564</v>
      </c>
      <c r="M115" s="268">
        <f t="shared" si="60"/>
        <v>19.577212960406236</v>
      </c>
      <c r="N115">
        <f t="shared" si="61"/>
        <v>0.83838662458311231</v>
      </c>
      <c r="O115">
        <f t="shared" si="62"/>
        <v>-1.9535290983898959</v>
      </c>
      <c r="Q115">
        <f t="shared" si="63"/>
        <v>-23.493182485288049</v>
      </c>
      <c r="R115">
        <f t="shared" si="64"/>
        <v>0</v>
      </c>
      <c r="S115">
        <f t="shared" si="65"/>
        <v>6.4385396492213417E-4</v>
      </c>
      <c r="T115">
        <f t="shared" si="66"/>
        <v>-0.40922013119277478</v>
      </c>
      <c r="U115">
        <f t="shared" si="67"/>
        <v>-0.31393715662325405</v>
      </c>
      <c r="V115">
        <f t="shared" si="68"/>
        <v>44.62444109712618</v>
      </c>
      <c r="W115">
        <f t="shared" si="69"/>
        <v>0.31393715662325405</v>
      </c>
      <c r="Y115">
        <f t="shared" si="70"/>
        <v>-1.6856102307892789</v>
      </c>
      <c r="Z115">
        <f t="shared" si="71"/>
        <v>-111.92897249373797</v>
      </c>
      <c r="AA115">
        <f t="shared" si="72"/>
        <v>1.3716730741660186</v>
      </c>
      <c r="AB115">
        <f t="shared" si="73"/>
        <v>156.55341359086415</v>
      </c>
    </row>
    <row r="116" spans="1:28">
      <c r="A116">
        <v>21727.011788637465</v>
      </c>
      <c r="B116" s="270">
        <f t="shared" si="32"/>
        <v>21.727011788637466</v>
      </c>
      <c r="D116">
        <f t="shared" si="51"/>
        <v>6.4161975382463765E-2</v>
      </c>
      <c r="E116">
        <f t="shared" si="52"/>
        <v>2.5559567570979516</v>
      </c>
      <c r="F116">
        <f t="shared" si="53"/>
        <v>0.16649523452756068</v>
      </c>
      <c r="G116">
        <f t="shared" si="54"/>
        <v>2.5559567570979516</v>
      </c>
      <c r="H116">
        <f t="shared" si="55"/>
        <v>507.70125321652284</v>
      </c>
      <c r="I116">
        <f t="shared" si="56"/>
        <v>-1.0091615897711403</v>
      </c>
      <c r="J116">
        <f t="shared" si="57"/>
        <v>8.2050760641112355</v>
      </c>
      <c r="K116">
        <f t="shared" si="58"/>
        <v>-5.2548018618954355</v>
      </c>
      <c r="L116">
        <f t="shared" si="59"/>
        <v>14.840333213770439</v>
      </c>
      <c r="M116" s="268">
        <f t="shared" si="60"/>
        <v>20.07093648887113</v>
      </c>
      <c r="N116">
        <f t="shared" si="61"/>
        <v>0.81482778776165421</v>
      </c>
      <c r="O116">
        <f t="shared" si="62"/>
        <v>-1.943279171753054</v>
      </c>
      <c r="Q116">
        <f t="shared" si="63"/>
        <v>-23.493182485288049</v>
      </c>
      <c r="R116">
        <f t="shared" si="64"/>
        <v>0</v>
      </c>
      <c r="S116">
        <f t="shared" si="65"/>
        <v>6.3874740172577683E-4</v>
      </c>
      <c r="T116">
        <f t="shared" si="66"/>
        <v>-0.41077890229012415</v>
      </c>
      <c r="U116">
        <f t="shared" si="67"/>
        <v>-0.47230453500809233</v>
      </c>
      <c r="V116">
        <f t="shared" si="68"/>
        <v>45.122407628630839</v>
      </c>
      <c r="W116">
        <f t="shared" si="69"/>
        <v>0.47230453500809233</v>
      </c>
      <c r="Y116">
        <f t="shared" si="70"/>
        <v>-1.8093953298505312</v>
      </c>
      <c r="Z116">
        <f t="shared" si="71"/>
        <v>-111.34169495712821</v>
      </c>
      <c r="AA116">
        <f t="shared" si="72"/>
        <v>1.3370907948424389</v>
      </c>
      <c r="AB116">
        <f t="shared" si="73"/>
        <v>156.46410258575906</v>
      </c>
    </row>
    <row r="117" spans="1:28">
      <c r="A117">
        <v>22777.182418573244</v>
      </c>
      <c r="B117" s="270">
        <f t="shared" si="32"/>
        <v>22.777182418573243</v>
      </c>
      <c r="D117">
        <f t="shared" si="51"/>
        <v>6.7263231218324449E-2</v>
      </c>
      <c r="E117">
        <f t="shared" si="52"/>
        <v>2.6784111997151396</v>
      </c>
      <c r="F117">
        <f t="shared" si="53"/>
        <v>0.18265859182418923</v>
      </c>
      <c r="G117">
        <f t="shared" si="54"/>
        <v>2.6784111997151396</v>
      </c>
      <c r="H117">
        <f t="shared" si="55"/>
        <v>543.70980109388461</v>
      </c>
      <c r="I117">
        <f t="shared" si="56"/>
        <v>-1.0302167186143953</v>
      </c>
      <c r="J117">
        <f t="shared" si="57"/>
        <v>8.0461481623019875</v>
      </c>
      <c r="K117">
        <f t="shared" si="58"/>
        <v>-5.5087916251992137</v>
      </c>
      <c r="L117">
        <f t="shared" si="59"/>
        <v>16.267688102802637</v>
      </c>
      <c r="M117" s="268">
        <f t="shared" si="60"/>
        <v>20.51742566583847</v>
      </c>
      <c r="N117">
        <f t="shared" si="61"/>
        <v>0.79303948700754046</v>
      </c>
      <c r="O117">
        <f t="shared" si="62"/>
        <v>-1.930633708551533</v>
      </c>
      <c r="Q117">
        <f t="shared" si="63"/>
        <v>-23.493182485288049</v>
      </c>
      <c r="R117">
        <f t="shared" si="64"/>
        <v>0</v>
      </c>
      <c r="S117">
        <f t="shared" si="65"/>
        <v>6.3360270041205998E-4</v>
      </c>
      <c r="T117">
        <f t="shared" si="66"/>
        <v>-0.41314915020464948</v>
      </c>
      <c r="U117">
        <f t="shared" si="67"/>
        <v>-0.62513599413820486</v>
      </c>
      <c r="V117">
        <f t="shared" si="68"/>
        <v>45.711134098163996</v>
      </c>
      <c r="W117">
        <f t="shared" si="69"/>
        <v>0.62513599413820486</v>
      </c>
      <c r="Y117">
        <f t="shared" si="70"/>
        <v>-1.9271055190617452</v>
      </c>
      <c r="Z117">
        <f t="shared" si="71"/>
        <v>-110.61716328569308</v>
      </c>
      <c r="AA117">
        <f t="shared" si="72"/>
        <v>1.3019695249235284</v>
      </c>
      <c r="AB117">
        <f t="shared" si="73"/>
        <v>156.32829738385706</v>
      </c>
    </row>
    <row r="118" spans="1:28">
      <c r="A118">
        <v>23878.112829131805</v>
      </c>
      <c r="B118" s="270">
        <f t="shared" si="32"/>
        <v>23.878112829131805</v>
      </c>
      <c r="D118">
        <f t="shared" si="51"/>
        <v>7.0514385614853348E-2</v>
      </c>
      <c r="E118">
        <f t="shared" si="52"/>
        <v>2.8066201274560045</v>
      </c>
      <c r="F118">
        <f t="shared" si="53"/>
        <v>0.20040709394184156</v>
      </c>
      <c r="G118">
        <f t="shared" si="54"/>
        <v>2.8066201274560045</v>
      </c>
      <c r="H118">
        <f t="shared" si="55"/>
        <v>583.28340548059089</v>
      </c>
      <c r="I118">
        <f t="shared" si="56"/>
        <v>-1.0508097754271737</v>
      </c>
      <c r="J118">
        <f t="shared" si="57"/>
        <v>7.8702692912143606</v>
      </c>
      <c r="K118">
        <f t="shared" si="58"/>
        <v>-5.7750579312839694</v>
      </c>
      <c r="L118">
        <f t="shared" si="59"/>
        <v>17.828832448395239</v>
      </c>
      <c r="M118" s="268">
        <f t="shared" si="60"/>
        <v>20.902937439353291</v>
      </c>
      <c r="N118">
        <f t="shared" si="61"/>
        <v>0.77276544655975032</v>
      </c>
      <c r="O118">
        <f t="shared" si="62"/>
        <v>-1.9154109866227662</v>
      </c>
      <c r="Q118">
        <f t="shared" si="63"/>
        <v>-23.493182485288049</v>
      </c>
      <c r="R118">
        <f t="shared" si="64"/>
        <v>0</v>
      </c>
      <c r="S118">
        <f t="shared" si="65"/>
        <v>6.2838205574690376E-4</v>
      </c>
      <c r="T118">
        <f t="shared" si="66"/>
        <v>-0.41633171701082961</v>
      </c>
      <c r="U118">
        <f t="shared" si="67"/>
        <v>-0.77353961693845008</v>
      </c>
      <c r="V118">
        <f t="shared" si="68"/>
        <v>46.400984171371022</v>
      </c>
      <c r="W118">
        <f t="shared" si="69"/>
        <v>0.77353961693845008</v>
      </c>
      <c r="Y118">
        <f t="shared" si="70"/>
        <v>-2.0395766935030668</v>
      </c>
      <c r="Z118">
        <f t="shared" si="71"/>
        <v>-109.74496556647348</v>
      </c>
      <c r="AA118">
        <f t="shared" si="72"/>
        <v>1.2660370765646221</v>
      </c>
      <c r="AB118">
        <f t="shared" si="73"/>
        <v>156.14594973784452</v>
      </c>
    </row>
    <row r="119" spans="1:28">
      <c r="A119">
        <v>25032.256483831756</v>
      </c>
      <c r="B119" s="270">
        <f t="shared" si="32"/>
        <v>25.032256483831755</v>
      </c>
      <c r="D119">
        <f t="shared" si="51"/>
        <v>7.3922683888038437E-2</v>
      </c>
      <c r="E119">
        <f t="shared" si="52"/>
        <v>2.9408369660794658</v>
      </c>
      <c r="F119">
        <f t="shared" si="53"/>
        <v>0.21989456140975036</v>
      </c>
      <c r="G119">
        <f t="shared" si="54"/>
        <v>2.9408369660794658</v>
      </c>
      <c r="H119">
        <f t="shared" si="55"/>
        <v>626.77502778897338</v>
      </c>
      <c r="I119">
        <f t="shared" si="56"/>
        <v>-1.0709167683087031</v>
      </c>
      <c r="J119">
        <f t="shared" si="57"/>
        <v>7.6754857286348548</v>
      </c>
      <c r="K119">
        <f t="shared" si="58"/>
        <v>-6.0541941643109061</v>
      </c>
      <c r="L119">
        <f t="shared" si="59"/>
        <v>19.535376390170278</v>
      </c>
      <c r="M119" s="268">
        <f t="shared" si="60"/>
        <v>21.2111313511368</v>
      </c>
      <c r="N119">
        <f t="shared" si="61"/>
        <v>0.75374936686829175</v>
      </c>
      <c r="O119">
        <f t="shared" si="62"/>
        <v>-1.8974181141387567</v>
      </c>
      <c r="Q119">
        <f t="shared" si="63"/>
        <v>-23.493182485288049</v>
      </c>
      <c r="R119">
        <f t="shared" si="64"/>
        <v>0</v>
      </c>
      <c r="S119">
        <f t="shared" si="65"/>
        <v>6.230484629387048E-4</v>
      </c>
      <c r="T119">
        <f t="shared" si="66"/>
        <v>-0.42032739900992921</v>
      </c>
      <c r="U119">
        <f t="shared" si="67"/>
        <v>-0.91876641896330113</v>
      </c>
      <c r="V119">
        <f t="shared" si="68"/>
        <v>47.202964111197048</v>
      </c>
      <c r="W119">
        <f t="shared" si="69"/>
        <v>0.91876641896330113</v>
      </c>
      <c r="Y119">
        <f t="shared" si="70"/>
        <v>-2.1477840379377695</v>
      </c>
      <c r="Z119">
        <f t="shared" si="71"/>
        <v>-108.71404991182267</v>
      </c>
      <c r="AA119">
        <f t="shared" si="72"/>
        <v>1.2290176189744741</v>
      </c>
      <c r="AB119">
        <f t="shared" si="73"/>
        <v>155.9170140230197</v>
      </c>
    </row>
    <row r="120" spans="1:28">
      <c r="A120">
        <v>26242.185433844457</v>
      </c>
      <c r="B120" s="270">
        <f t="shared" si="32"/>
        <v>26.242185433844458</v>
      </c>
      <c r="D120">
        <f t="shared" si="51"/>
        <v>7.7495721554720426E-2</v>
      </c>
      <c r="E120">
        <f t="shared" si="52"/>
        <v>3.08132370503664</v>
      </c>
      <c r="F120">
        <f t="shared" si="53"/>
        <v>0.24128940386547895</v>
      </c>
      <c r="G120">
        <f t="shared" si="54"/>
        <v>3.08132370503664</v>
      </c>
      <c r="H120">
        <f t="shared" si="55"/>
        <v>674.57257467227964</v>
      </c>
      <c r="I120">
        <f t="shared" si="56"/>
        <v>-1.0905174483354134</v>
      </c>
      <c r="J120">
        <f t="shared" si="57"/>
        <v>7.4595849410486048</v>
      </c>
      <c r="K120">
        <f t="shared" si="58"/>
        <v>-6.3468223895421794</v>
      </c>
      <c r="L120">
        <f t="shared" si="59"/>
        <v>21.39971390810036</v>
      </c>
      <c r="M120" s="268">
        <f t="shared" si="60"/>
        <v>21.422591504242536</v>
      </c>
      <c r="N120">
        <f t="shared" si="61"/>
        <v>0.73572999666398819</v>
      </c>
      <c r="O120">
        <f t="shared" si="62"/>
        <v>-1.8764498565322794</v>
      </c>
      <c r="Q120">
        <f t="shared" si="63"/>
        <v>-23.493182485288049</v>
      </c>
      <c r="R120">
        <f t="shared" si="64"/>
        <v>0</v>
      </c>
      <c r="S120">
        <f t="shared" si="65"/>
        <v>6.1756563634143076E-4</v>
      </c>
      <c r="T120">
        <f t="shared" si="66"/>
        <v>-0.42513686992460881</v>
      </c>
      <c r="U120">
        <f t="shared" si="67"/>
        <v>-1.0622384581486983</v>
      </c>
      <c r="V120">
        <f t="shared" si="68"/>
        <v>48.128794390689222</v>
      </c>
      <c r="W120">
        <f t="shared" si="69"/>
        <v>1.0622384581486983</v>
      </c>
      <c r="Y120">
        <f t="shared" si="70"/>
        <v>-2.2528690099353548</v>
      </c>
      <c r="Z120">
        <f t="shared" si="71"/>
        <v>-107.51265724722843</v>
      </c>
      <c r="AA120">
        <f t="shared" si="72"/>
        <v>1.1906305517866613</v>
      </c>
      <c r="AB120">
        <f t="shared" si="73"/>
        <v>155.64145163791767</v>
      </c>
    </row>
    <row r="121" spans="1:28">
      <c r="A121">
        <v>27510.596049903696</v>
      </c>
      <c r="B121" s="270">
        <f t="shared" si="32"/>
        <v>27.510596049903697</v>
      </c>
      <c r="D121">
        <f t="shared" si="51"/>
        <v>8.1241461259478606E-2</v>
      </c>
      <c r="E121">
        <f t="shared" si="52"/>
        <v>3.2283507702451191</v>
      </c>
      <c r="F121">
        <f t="shared" si="53"/>
        <v>0.26477593403287675</v>
      </c>
      <c r="G121">
        <f t="shared" si="54"/>
        <v>3.2283507702451191</v>
      </c>
      <c r="H121">
        <f t="shared" si="55"/>
        <v>727.10235780758262</v>
      </c>
      <c r="I121">
        <f t="shared" si="56"/>
        <v>-1.1095952241485294</v>
      </c>
      <c r="J121">
        <f t="shared" si="57"/>
        <v>7.2200533630633839</v>
      </c>
      <c r="K121">
        <f t="shared" si="58"/>
        <v>-6.65359473963598</v>
      </c>
      <c r="L121">
        <f t="shared" si="59"/>
        <v>23.435014899612238</v>
      </c>
      <c r="M121" s="268">
        <f t="shared" si="60"/>
        <v>21.514252749646072</v>
      </c>
      <c r="N121">
        <f t="shared" si="61"/>
        <v>0.71843586970417872</v>
      </c>
      <c r="O121">
        <f t="shared" si="62"/>
        <v>-1.8522875900428037</v>
      </c>
      <c r="Q121">
        <f t="shared" si="63"/>
        <v>-23.493182485288049</v>
      </c>
      <c r="R121">
        <f t="shared" si="64"/>
        <v>0</v>
      </c>
      <c r="S121">
        <f t="shared" si="65"/>
        <v>6.1189797000830895E-4</v>
      </c>
      <c r="T121">
        <f t="shared" si="66"/>
        <v>-0.43076058184249955</v>
      </c>
      <c r="U121">
        <f t="shared" si="67"/>
        <v>-1.2055841134985457</v>
      </c>
      <c r="V121">
        <f t="shared" si="68"/>
        <v>49.190975325913996</v>
      </c>
      <c r="W121">
        <f t="shared" si="69"/>
        <v>1.2055841134985457</v>
      </c>
      <c r="Y121">
        <f t="shared" si="70"/>
        <v>-2.3561735670833563</v>
      </c>
      <c r="Z121">
        <f t="shared" si="71"/>
        <v>-106.1282613539111</v>
      </c>
      <c r="AA121">
        <f t="shared" si="72"/>
        <v>1.1505894535848071</v>
      </c>
      <c r="AB121">
        <f t="shared" si="73"/>
        <v>155.31923667982508</v>
      </c>
    </row>
    <row r="122" spans="1:28">
      <c r="A122">
        <v>28840.315031266062</v>
      </c>
      <c r="B122" s="270">
        <f t="shared" si="32"/>
        <v>28.840315031266062</v>
      </c>
      <c r="D122">
        <f t="shared" si="51"/>
        <v>8.5168250519674291E-2</v>
      </c>
      <c r="E122">
        <f t="shared" si="52"/>
        <v>3.3821968134823757</v>
      </c>
      <c r="F122">
        <f t="shared" si="53"/>
        <v>0.2905557855175111</v>
      </c>
      <c r="G122">
        <f t="shared" si="54"/>
        <v>3.3821968134823757</v>
      </c>
      <c r="H122">
        <f t="shared" si="55"/>
        <v>784.83289621740266</v>
      </c>
      <c r="I122">
        <f t="shared" si="56"/>
        <v>-1.1281370297181055</v>
      </c>
      <c r="J122">
        <f t="shared" si="57"/>
        <v>6.9540253828955674</v>
      </c>
      <c r="K122">
        <f t="shared" si="58"/>
        <v>-6.975194867947911</v>
      </c>
      <c r="L122">
        <f t="shared" si="59"/>
        <v>25.655194987465205</v>
      </c>
      <c r="M122" s="268">
        <f t="shared" si="60"/>
        <v>21.458708712177444</v>
      </c>
      <c r="N122">
        <f t="shared" si="61"/>
        <v>0.70157978418854294</v>
      </c>
      <c r="O122">
        <f t="shared" si="62"/>
        <v>-1.8246985515091185</v>
      </c>
      <c r="Q122">
        <f t="shared" si="63"/>
        <v>-23.493182485288049</v>
      </c>
      <c r="R122">
        <f t="shared" si="64"/>
        <v>0</v>
      </c>
      <c r="S122">
        <f t="shared" si="65"/>
        <v>6.0601054295508414E-4</v>
      </c>
      <c r="T122">
        <f t="shared" si="66"/>
        <v>-0.43719864416389503</v>
      </c>
      <c r="U122">
        <f t="shared" si="67"/>
        <v>-1.3506818493747375</v>
      </c>
      <c r="V122">
        <f t="shared" si="68"/>
        <v>50.402836995459779</v>
      </c>
      <c r="W122">
        <f t="shared" si="69"/>
        <v>1.3506818493747375</v>
      </c>
      <c r="Y122">
        <f t="shared" si="70"/>
        <v>-2.459282976722168</v>
      </c>
      <c r="Z122">
        <f t="shared" si="71"/>
        <v>-104.54752588510715</v>
      </c>
      <c r="AA122">
        <f t="shared" si="72"/>
        <v>1.1086011273474199</v>
      </c>
      <c r="AB122">
        <f t="shared" si="73"/>
        <v>154.95036288056693</v>
      </c>
    </row>
    <row r="123" spans="1:28">
      <c r="A123">
        <v>30234.30570511342</v>
      </c>
      <c r="B123" s="270">
        <f t="shared" si="32"/>
        <v>30.234305705113421</v>
      </c>
      <c r="D123">
        <f t="shared" si="51"/>
        <v>8.9284840328197959E-2</v>
      </c>
      <c r="E123">
        <f t="shared" si="52"/>
        <v>3.5431484039338588</v>
      </c>
      <c r="F123">
        <f t="shared" si="53"/>
        <v>0.31884943950434402</v>
      </c>
      <c r="G123">
        <f t="shared" si="54"/>
        <v>3.5431484039338588</v>
      </c>
      <c r="H123">
        <f t="shared" si="55"/>
        <v>848.27909504338288</v>
      </c>
      <c r="I123">
        <f t="shared" si="56"/>
        <v>-1.1461331535876671</v>
      </c>
      <c r="J123">
        <f t="shared" si="57"/>
        <v>6.658221226804379</v>
      </c>
      <c r="K123">
        <f t="shared" si="58"/>
        <v>-7.3123394720774497</v>
      </c>
      <c r="L123">
        <f t="shared" si="59"/>
        <v>28.074854859813502</v>
      </c>
      <c r="M123" s="268">
        <f t="shared" si="60"/>
        <v>21.223372922076383</v>
      </c>
      <c r="N123">
        <f t="shared" si="61"/>
        <v>0.68485323049901659</v>
      </c>
      <c r="O123">
        <f t="shared" si="62"/>
        <v>-1.7934356242166771</v>
      </c>
      <c r="Q123">
        <f t="shared" si="63"/>
        <v>-23.493182485288049</v>
      </c>
      <c r="R123">
        <f t="shared" si="64"/>
        <v>0</v>
      </c>
      <c r="S123">
        <f t="shared" si="65"/>
        <v>5.9986917212736125E-4</v>
      </c>
      <c r="T123">
        <f t="shared" si="66"/>
        <v>-0.44445068098958995</v>
      </c>
      <c r="U123">
        <f t="shared" si="67"/>
        <v>-1.4997137881497338</v>
      </c>
      <c r="V123">
        <f t="shared" si="68"/>
        <v>51.778559681555265</v>
      </c>
      <c r="W123">
        <f t="shared" si="69"/>
        <v>1.4997137881497338</v>
      </c>
      <c r="Y123">
        <f t="shared" si="70"/>
        <v>-2.5640785544677405</v>
      </c>
      <c r="Z123">
        <f t="shared" si="71"/>
        <v>-102.7562920960259</v>
      </c>
      <c r="AA123">
        <f t="shared" si="72"/>
        <v>1.0643647663180147</v>
      </c>
      <c r="AB123">
        <f t="shared" si="73"/>
        <v>154.53485177758117</v>
      </c>
    </row>
    <row r="124" spans="1:28">
      <c r="A124">
        <v>31695.674630434922</v>
      </c>
      <c r="B124" s="270">
        <f t="shared" si="32"/>
        <v>31.695674630434922</v>
      </c>
      <c r="D124">
        <f t="shared" si="51"/>
        <v>9.3600404655373934E-2</v>
      </c>
      <c r="E124">
        <f t="shared" si="52"/>
        <v>3.7114996054791214</v>
      </c>
      <c r="F124">
        <f t="shared" si="53"/>
        <v>0.34989786495110647</v>
      </c>
      <c r="G124">
        <f t="shared" si="54"/>
        <v>3.7114996054791214</v>
      </c>
      <c r="H124">
        <f t="shared" si="55"/>
        <v>918.00683804292669</v>
      </c>
      <c r="I124">
        <f t="shared" si="56"/>
        <v>-1.1635770379151269</v>
      </c>
      <c r="J124">
        <f t="shared" si="57"/>
        <v>6.3288706980674565</v>
      </c>
      <c r="K124">
        <f t="shared" si="58"/>
        <v>-7.665779891054509</v>
      </c>
      <c r="L124">
        <f t="shared" si="59"/>
        <v>30.709178210181243</v>
      </c>
      <c r="M124" s="268">
        <f t="shared" si="60"/>
        <v>20.769455760883606</v>
      </c>
      <c r="N124">
        <f t="shared" si="61"/>
        <v>0.6679211743823541</v>
      </c>
      <c r="O124">
        <f t="shared" si="62"/>
        <v>-1.758237989428153</v>
      </c>
      <c r="Q124">
        <f t="shared" si="63"/>
        <v>-23.493182485288049</v>
      </c>
      <c r="R124">
        <f t="shared" si="64"/>
        <v>0</v>
      </c>
      <c r="S124">
        <f t="shared" si="65"/>
        <v>5.9344051601886911E-4</v>
      </c>
      <c r="T124">
        <f t="shared" si="66"/>
        <v>-0.4525156676388436</v>
      </c>
      <c r="U124">
        <f t="shared" si="67"/>
        <v>-1.6552302592813817</v>
      </c>
      <c r="V124">
        <f t="shared" si="68"/>
        <v>53.333145906948943</v>
      </c>
      <c r="W124">
        <f t="shared" si="69"/>
        <v>1.6552302592813817</v>
      </c>
      <c r="Y124">
        <f t="shared" si="70"/>
        <v>-2.672801524939437</v>
      </c>
      <c r="Z124">
        <f t="shared" si="71"/>
        <v>-100.73961617380063</v>
      </c>
      <c r="AA124">
        <f t="shared" si="72"/>
        <v>1.0175712656580558</v>
      </c>
      <c r="AB124">
        <f t="shared" si="73"/>
        <v>154.07276208074958</v>
      </c>
    </row>
    <row r="125" spans="1:28">
      <c r="A125">
        <v>33227.678521107584</v>
      </c>
      <c r="B125" s="270">
        <f t="shared" si="32"/>
        <v>33.227678521107585</v>
      </c>
      <c r="D125">
        <f t="shared" si="51"/>
        <v>9.8124560893489657E-2</v>
      </c>
      <c r="E125">
        <f t="shared" si="52"/>
        <v>3.8875514211457376</v>
      </c>
      <c r="F125">
        <f t="shared" si="53"/>
        <v>0.38396427615078721</v>
      </c>
      <c r="G125">
        <f t="shared" si="54"/>
        <v>3.8875514211457376</v>
      </c>
      <c r="H125">
        <f t="shared" si="55"/>
        <v>994.63803476987846</v>
      </c>
      <c r="I125">
        <f t="shared" si="56"/>
        <v>-1.1804650553128717</v>
      </c>
      <c r="J125">
        <f t="shared" si="57"/>
        <v>5.9616187092407582</v>
      </c>
      <c r="K125">
        <f t="shared" si="58"/>
        <v>-8.0363037797260208</v>
      </c>
      <c r="L125">
        <f t="shared" si="59"/>
        <v>33.573773616050602</v>
      </c>
      <c r="M125" s="268">
        <f t="shared" si="60"/>
        <v>20.050708254801645</v>
      </c>
      <c r="N125">
        <f t="shared" si="61"/>
        <v>0.65041790344974093</v>
      </c>
      <c r="O125">
        <f t="shared" si="62"/>
        <v>-1.7188330825498355</v>
      </c>
      <c r="Q125">
        <f t="shared" si="63"/>
        <v>-23.493182485288049</v>
      </c>
      <c r="R125">
        <f t="shared" si="64"/>
        <v>0</v>
      </c>
      <c r="S125">
        <f t="shared" si="65"/>
        <v>5.8669223160710577E-4</v>
      </c>
      <c r="T125">
        <f t="shared" si="66"/>
        <v>-0.46139174732520288</v>
      </c>
      <c r="U125">
        <f t="shared" si="67"/>
        <v>-1.8202260626739246</v>
      </c>
      <c r="V125">
        <f t="shared" si="68"/>
        <v>55.082318858532375</v>
      </c>
      <c r="W125">
        <f t="shared" si="69"/>
        <v>1.8202260626739246</v>
      </c>
      <c r="Y125">
        <f t="shared" si="70"/>
        <v>-2.7881287697348398</v>
      </c>
      <c r="Z125">
        <f t="shared" si="71"/>
        <v>-98.481881317567002</v>
      </c>
      <c r="AA125">
        <f t="shared" si="72"/>
        <v>0.9679027070609223</v>
      </c>
      <c r="AB125">
        <f t="shared" si="73"/>
        <v>153.56420017609938</v>
      </c>
    </row>
    <row r="126" spans="1:28">
      <c r="A126">
        <v>34833.731503601201</v>
      </c>
      <c r="B126" s="270">
        <f t="shared" si="32"/>
        <v>34.8337315036012</v>
      </c>
      <c r="D126">
        <f t="shared" si="51"/>
        <v>0.1028673912895029</v>
      </c>
      <c r="E126">
        <f t="shared" si="52"/>
        <v>4.071611083798202</v>
      </c>
      <c r="F126">
        <f t="shared" si="53"/>
        <v>0.4213360105357466</v>
      </c>
      <c r="G126">
        <f t="shared" si="54"/>
        <v>4.071611083798202</v>
      </c>
      <c r="H126">
        <f t="shared" si="55"/>
        <v>1078.8561674555003</v>
      </c>
      <c r="I126">
        <f t="shared" si="56"/>
        <v>-1.1967962709262612</v>
      </c>
      <c r="J126">
        <f t="shared" si="57"/>
        <v>5.5514071262975877</v>
      </c>
      <c r="K126">
        <f t="shared" si="58"/>
        <v>-8.4247368640733029</v>
      </c>
      <c r="L126">
        <f t="shared" si="59"/>
        <v>36.684440549335335</v>
      </c>
      <c r="M126" s="268">
        <f t="shared" si="60"/>
        <v>19.011867596800258</v>
      </c>
      <c r="N126">
        <f t="shared" si="61"/>
        <v>0.63194506644847903</v>
      </c>
      <c r="O126">
        <f t="shared" si="62"/>
        <v>-1.6749404156715122</v>
      </c>
      <c r="Q126">
        <f t="shared" si="63"/>
        <v>-23.493182485288049</v>
      </c>
      <c r="R126">
        <f t="shared" si="64"/>
        <v>0</v>
      </c>
      <c r="S126">
        <f t="shared" si="65"/>
        <v>5.7959318670679769E-4</v>
      </c>
      <c r="T126">
        <f t="shared" si="66"/>
        <v>-0.47107602944767746</v>
      </c>
      <c r="U126">
        <f t="shared" si="67"/>
        <v>-1.9982283194442374</v>
      </c>
      <c r="V126">
        <f t="shared" si="68"/>
        <v>57.04231492900216</v>
      </c>
      <c r="W126">
        <f t="shared" si="69"/>
        <v>1.9982283194442374</v>
      </c>
      <c r="Y126">
        <f t="shared" si="70"/>
        <v>-2.9132603645629027</v>
      </c>
      <c r="Z126">
        <f t="shared" si="71"/>
        <v>-95.967016753865423</v>
      </c>
      <c r="AA126">
        <f t="shared" si="72"/>
        <v>0.91503204511865732</v>
      </c>
      <c r="AB126">
        <f t="shared" si="73"/>
        <v>153.00933168286758</v>
      </c>
    </row>
    <row r="127" spans="1:28">
      <c r="A127">
        <v>36517.412725483802</v>
      </c>
      <c r="B127" s="270">
        <f t="shared" si="32"/>
        <v>36.517412725483801</v>
      </c>
      <c r="D127">
        <f t="shared" si="51"/>
        <v>0.10783946541369714</v>
      </c>
      <c r="E127">
        <f t="shared" si="52"/>
        <v>4.2639911695579551</v>
      </c>
      <c r="F127">
        <f t="shared" si="53"/>
        <v>0.46232652825385512</v>
      </c>
      <c r="G127">
        <f t="shared" si="54"/>
        <v>4.2639911695579551</v>
      </c>
      <c r="H127">
        <f t="shared" si="55"/>
        <v>1171.412387063102</v>
      </c>
      <c r="I127">
        <f t="shared" si="56"/>
        <v>-1.2125721964489924</v>
      </c>
      <c r="J127">
        <f t="shared" si="57"/>
        <v>5.092325432772947</v>
      </c>
      <c r="K127">
        <f t="shared" si="58"/>
        <v>-8.83194478137254</v>
      </c>
      <c r="L127">
        <f t="shared" si="59"/>
        <v>40.056832519905932</v>
      </c>
      <c r="M127" s="268">
        <f t="shared" si="60"/>
        <v>17.586716601161648</v>
      </c>
      <c r="N127">
        <f t="shared" si="61"/>
        <v>0.61207357892700742</v>
      </c>
      <c r="O127">
        <f t="shared" si="62"/>
        <v>-1.6262779472936448</v>
      </c>
      <c r="Q127">
        <f t="shared" si="63"/>
        <v>-23.493182485288049</v>
      </c>
      <c r="R127">
        <f t="shared" si="64"/>
        <v>0</v>
      </c>
      <c r="S127">
        <f t="shared" si="65"/>
        <v>5.7211372893705033E-4</v>
      </c>
      <c r="T127">
        <f t="shared" si="66"/>
        <v>-0.48156437148146847</v>
      </c>
      <c r="U127">
        <f t="shared" si="67"/>
        <v>-2.1933942866981369</v>
      </c>
      <c r="V127">
        <f t="shared" si="68"/>
        <v>59.229531255116925</v>
      </c>
      <c r="W127">
        <f t="shared" si="69"/>
        <v>2.1933942866981369</v>
      </c>
      <c r="Y127">
        <f t="shared" si="70"/>
        <v>-3.0520173121314516</v>
      </c>
      <c r="Z127">
        <f t="shared" si="71"/>
        <v>-93.178862695124792</v>
      </c>
      <c r="AA127">
        <f t="shared" si="72"/>
        <v>0.85862302543332447</v>
      </c>
      <c r="AB127">
        <f t="shared" si="73"/>
        <v>152.4083939502417</v>
      </c>
    </row>
    <row r="128" spans="1:28">
      <c r="A128">
        <v>38282.474331682301</v>
      </c>
      <c r="B128" s="270">
        <f t="shared" si="32"/>
        <v>38.282474331682302</v>
      </c>
      <c r="D128">
        <f t="shared" si="51"/>
        <v>0.11305186371435377</v>
      </c>
      <c r="E128">
        <f t="shared" si="52"/>
        <v>4.4650085076742414</v>
      </c>
      <c r="F128">
        <f t="shared" si="53"/>
        <v>0.50727753329301839</v>
      </c>
      <c r="G128">
        <f t="shared" si="54"/>
        <v>4.4650085076742414</v>
      </c>
      <c r="H128">
        <f t="shared" si="55"/>
        <v>1273.1322128876548</v>
      </c>
      <c r="I128">
        <f t="shared" si="56"/>
        <v>-1.2277965419241188</v>
      </c>
      <c r="J128">
        <f t="shared" si="57"/>
        <v>4.5774198338668315</v>
      </c>
      <c r="K128">
        <f t="shared" si="58"/>
        <v>-9.2588350092989877</v>
      </c>
      <c r="L128">
        <f t="shared" si="59"/>
        <v>43.705980153879828</v>
      </c>
      <c r="M128" s="268">
        <f t="shared" si="60"/>
        <v>15.695636945531135</v>
      </c>
      <c r="N128">
        <f t="shared" si="61"/>
        <v>0.59035168781619751</v>
      </c>
      <c r="O128">
        <f t="shared" si="62"/>
        <v>-1.5725717597834779</v>
      </c>
      <c r="Q128">
        <f t="shared" si="63"/>
        <v>-23.493182485288049</v>
      </c>
      <c r="R128">
        <f t="shared" si="64"/>
        <v>0</v>
      </c>
      <c r="S128">
        <f t="shared" si="65"/>
        <v>5.6422601120711155E-4</v>
      </c>
      <c r="T128">
        <f t="shared" si="66"/>
        <v>-0.49285114707609456</v>
      </c>
      <c r="U128">
        <f t="shared" si="67"/>
        <v>-2.410615184181907</v>
      </c>
      <c r="V128">
        <f t="shared" si="68"/>
        <v>61.659984527304388</v>
      </c>
      <c r="W128">
        <f t="shared" si="69"/>
        <v>2.410615184181907</v>
      </c>
      <c r="Y128">
        <f t="shared" si="70"/>
        <v>-3.2089455491901706</v>
      </c>
      <c r="Z128">
        <f t="shared" si="71"/>
        <v>-90.101724817054006</v>
      </c>
      <c r="AA128">
        <f t="shared" si="72"/>
        <v>0.79833036500826182</v>
      </c>
      <c r="AB128">
        <f t="shared" si="73"/>
        <v>151.76170934435839</v>
      </c>
    </row>
    <row r="129" spans="1:28">
      <c r="A129">
        <v>40132.849826274163</v>
      </c>
      <c r="B129" s="270">
        <f t="shared" si="32"/>
        <v>40.13284982627416</v>
      </c>
      <c r="D129">
        <f t="shared" si="51"/>
        <v>0.11851620221093459</v>
      </c>
      <c r="E129">
        <f t="shared" si="52"/>
        <v>4.6749828575991899</v>
      </c>
      <c r="F129">
        <f t="shared" si="53"/>
        <v>0.55656121368387834</v>
      </c>
      <c r="G129">
        <f t="shared" si="54"/>
        <v>4.6749828575991899</v>
      </c>
      <c r="H129">
        <f t="shared" si="55"/>
        <v>1384.9228954548973</v>
      </c>
      <c r="I129">
        <f t="shared" si="56"/>
        <v>-1.2424749702808777</v>
      </c>
      <c r="J129">
        <f t="shared" si="57"/>
        <v>3.9984462049292571</v>
      </c>
      <c r="K129">
        <f t="shared" si="58"/>
        <v>-9.7063588882740071</v>
      </c>
      <c r="L129">
        <f t="shared" si="59"/>
        <v>47.645622309088864</v>
      </c>
      <c r="M129" s="268">
        <f t="shared" si="60"/>
        <v>13.242489119442476</v>
      </c>
      <c r="N129">
        <f t="shared" si="61"/>
        <v>0.56632203646751778</v>
      </c>
      <c r="O129">
        <f t="shared" si="62"/>
        <v>-1.5135697829758792</v>
      </c>
      <c r="Q129">
        <f t="shared" si="63"/>
        <v>-23.493182485288049</v>
      </c>
      <c r="R129">
        <f t="shared" si="64"/>
        <v>0</v>
      </c>
      <c r="S129">
        <f t="shared" si="65"/>
        <v>5.559043719115922E-4</v>
      </c>
      <c r="T129">
        <f t="shared" si="66"/>
        <v>-0.50492900368317961</v>
      </c>
      <c r="U129">
        <f t="shared" si="67"/>
        <v>-2.6556188061084356</v>
      </c>
      <c r="V129">
        <f t="shared" si="68"/>
        <v>64.348538572158361</v>
      </c>
      <c r="W129">
        <f t="shared" si="69"/>
        <v>2.6556188061084356</v>
      </c>
      <c r="Y129">
        <f t="shared" si="70"/>
        <v>-3.3894190311878889</v>
      </c>
      <c r="Z129">
        <f t="shared" si="71"/>
        <v>-86.721160563049835</v>
      </c>
      <c r="AA129">
        <f t="shared" si="72"/>
        <v>0.73380022507945597</v>
      </c>
      <c r="AB129">
        <f t="shared" si="73"/>
        <v>151.0696991352082</v>
      </c>
    </row>
    <row r="130" spans="1:28">
      <c r="A130">
        <v>42072.662838444536</v>
      </c>
      <c r="B130" s="270">
        <f t="shared" si="32"/>
        <v>42.072662838444536</v>
      </c>
      <c r="D130">
        <f t="shared" si="51"/>
        <v>0.1242446583808046</v>
      </c>
      <c r="E130">
        <f t="shared" si="52"/>
        <v>4.8942353208895595</v>
      </c>
      <c r="F130">
        <f t="shared" si="53"/>
        <v>0.61058259547919091</v>
      </c>
      <c r="G130">
        <f t="shared" si="54"/>
        <v>4.8942353208895595</v>
      </c>
      <c r="H130">
        <f t="shared" si="55"/>
        <v>1507.7815083904495</v>
      </c>
      <c r="I130">
        <f t="shared" si="56"/>
        <v>-1.2566148586590131</v>
      </c>
      <c r="J130">
        <f t="shared" si="57"/>
        <v>3.3455460284156171</v>
      </c>
      <c r="K130">
        <f t="shared" si="58"/>
        <v>-10.175513741561868</v>
      </c>
      <c r="L130">
        <f t="shared" si="59"/>
        <v>51.887271763511507</v>
      </c>
      <c r="M130" s="268">
        <f t="shared" si="60"/>
        <v>10.11058263618691</v>
      </c>
      <c r="N130">
        <f t="shared" si="61"/>
        <v>0.53955075108976736</v>
      </c>
      <c r="O130">
        <f t="shared" si="62"/>
        <v>-1.4490600834187854</v>
      </c>
      <c r="Q130">
        <f t="shared" si="63"/>
        <v>-23.493182485288049</v>
      </c>
      <c r="R130">
        <f t="shared" si="64"/>
        <v>0</v>
      </c>
      <c r="S130">
        <f t="shared" si="65"/>
        <v>5.4712576587169904E-4</v>
      </c>
      <c r="T130">
        <f t="shared" si="66"/>
        <v>-0.51778861382726138</v>
      </c>
      <c r="U130">
        <f t="shared" si="67"/>
        <v>-2.9350596220747605</v>
      </c>
      <c r="V130">
        <f t="shared" si="68"/>
        <v>67.307870706997292</v>
      </c>
      <c r="W130">
        <f t="shared" si="69"/>
        <v>2.9350596220747605</v>
      </c>
      <c r="Y130">
        <f t="shared" si="70"/>
        <v>-3.5997306270420379</v>
      </c>
      <c r="Z130">
        <f t="shared" si="71"/>
        <v>-83.025027040771405</v>
      </c>
      <c r="AA130">
        <f t="shared" si="72"/>
        <v>0.66467100496726772</v>
      </c>
      <c r="AB130">
        <f t="shared" si="73"/>
        <v>150.3328977477687</v>
      </c>
    </row>
    <row r="131" spans="1:28">
      <c r="A131">
        <v>44106.236312143832</v>
      </c>
      <c r="B131" s="270">
        <f t="shared" ref="B131:B194" si="74">A131/1000</f>
        <v>44.106236312143835</v>
      </c>
      <c r="D131">
        <f t="shared" si="51"/>
        <v>0.13024999829718287</v>
      </c>
      <c r="E131">
        <f t="shared" si="52"/>
        <v>5.1230864523035997</v>
      </c>
      <c r="F131">
        <f t="shared" si="53"/>
        <v>0.66978200168886448</v>
      </c>
      <c r="G131">
        <f t="shared" si="54"/>
        <v>5.1230864523035997</v>
      </c>
      <c r="H131">
        <f t="shared" si="55"/>
        <v>1642.8038414311966</v>
      </c>
      <c r="I131">
        <f t="shared" si="56"/>
        <v>-1.2702250697120199</v>
      </c>
      <c r="J131">
        <f t="shared" si="57"/>
        <v>2.6068149887991741</v>
      </c>
      <c r="K131">
        <f t="shared" si="58"/>
        <v>-10.66734509784091</v>
      </c>
      <c r="L131">
        <f t="shared" si="59"/>
        <v>56.438909738063657</v>
      </c>
      <c r="M131" s="268">
        <f t="shared" si="60"/>
        <v>6.1573955070795083</v>
      </c>
      <c r="N131">
        <f t="shared" si="61"/>
        <v>0.50967088485578382</v>
      </c>
      <c r="O131">
        <f t="shared" si="62"/>
        <v>-1.3788937016095995</v>
      </c>
      <c r="Q131">
        <f t="shared" si="63"/>
        <v>-23.493182485288049</v>
      </c>
      <c r="R131">
        <f t="shared" si="64"/>
        <v>0</v>
      </c>
      <c r="S131">
        <f t="shared" si="65"/>
        <v>5.3787023947591878E-4</v>
      </c>
      <c r="T131">
        <f t="shared" si="66"/>
        <v>-0.53141842497732406</v>
      </c>
      <c r="U131">
        <f t="shared" si="67"/>
        <v>-3.2565809083965291</v>
      </c>
      <c r="V131">
        <f t="shared" si="68"/>
        <v>70.547177593908231</v>
      </c>
      <c r="W131">
        <f t="shared" si="69"/>
        <v>3.2565809083965291</v>
      </c>
      <c r="Y131">
        <f t="shared" si="70"/>
        <v>-3.8471553908607676</v>
      </c>
      <c r="Z131">
        <f t="shared" si="71"/>
        <v>-79.004789499401539</v>
      </c>
      <c r="AA131">
        <f t="shared" si="72"/>
        <v>0.59057448246424116</v>
      </c>
      <c r="AB131">
        <f t="shared" si="73"/>
        <v>149.55196709330977</v>
      </c>
    </row>
    <row r="132" spans="1:28">
      <c r="A132">
        <v>46238.102139926108</v>
      </c>
      <c r="B132" s="270">
        <f t="shared" si="74"/>
        <v>46.238102139926106</v>
      </c>
      <c r="D132">
        <f t="shared" si="51"/>
        <v>0.13654560507880276</v>
      </c>
      <c r="E132">
        <f t="shared" si="52"/>
        <v>5.3618540311458425</v>
      </c>
      <c r="F132">
        <f t="shared" si="53"/>
        <v>0.73463760302702674</v>
      </c>
      <c r="G132">
        <f t="shared" si="54"/>
        <v>5.3618540311458425</v>
      </c>
      <c r="H132">
        <f t="shared" si="55"/>
        <v>1791.1941738967739</v>
      </c>
      <c r="I132">
        <f t="shared" si="56"/>
        <v>-1.2833157352859175</v>
      </c>
      <c r="J132">
        <f t="shared" si="57"/>
        <v>1.767719254600338</v>
      </c>
      <c r="K132">
        <f t="shared" si="58"/>
        <v>-11.18294902120234</v>
      </c>
      <c r="L132">
        <f t="shared" si="59"/>
        <v>61.303154149493764</v>
      </c>
      <c r="M132" s="268">
        <f t="shared" si="60"/>
        <v>1.2075409246051085</v>
      </c>
      <c r="N132">
        <f t="shared" si="61"/>
        <v>0.47644036797275258</v>
      </c>
      <c r="O132">
        <f t="shared" si="62"/>
        <v>-1.3030110478702062</v>
      </c>
      <c r="Q132">
        <f t="shared" si="63"/>
        <v>-23.493182485288049</v>
      </c>
      <c r="R132">
        <f t="shared" si="64"/>
        <v>0</v>
      </c>
      <c r="S132">
        <f t="shared" si="65"/>
        <v>5.2812144051171933E-4</v>
      </c>
      <c r="T132">
        <f t="shared" si="66"/>
        <v>-0.54580441384034872</v>
      </c>
      <c r="U132">
        <f t="shared" si="67"/>
        <v>-3.628830806051397</v>
      </c>
      <c r="V132">
        <f t="shared" si="68"/>
        <v>74.070676945454565</v>
      </c>
      <c r="W132">
        <f t="shared" si="69"/>
        <v>3.628830806051397</v>
      </c>
      <c r="Y132">
        <f t="shared" si="70"/>
        <v>-4.1399681275097375</v>
      </c>
      <c r="Z132">
        <f t="shared" si="71"/>
        <v>-74.657033701881687</v>
      </c>
      <c r="AA132">
        <f t="shared" si="72"/>
        <v>0.51113732145834234</v>
      </c>
      <c r="AB132">
        <f t="shared" si="73"/>
        <v>148.72771064733624</v>
      </c>
    </row>
    <row r="133" spans="1:28">
      <c r="A133">
        <v>48473.011262436703</v>
      </c>
      <c r="B133" s="270">
        <f t="shared" si="74"/>
        <v>48.4730112624367</v>
      </c>
      <c r="D133">
        <f t="shared" si="51"/>
        <v>0.14314550871467965</v>
      </c>
      <c r="E133">
        <f t="shared" si="52"/>
        <v>5.6108504506208297</v>
      </c>
      <c r="F133">
        <f t="shared" si="53"/>
        <v>0.8056680420761082</v>
      </c>
      <c r="G133">
        <f t="shared" si="54"/>
        <v>5.6108504506208297</v>
      </c>
      <c r="H133">
        <f t="shared" si="55"/>
        <v>1954.2760157917821</v>
      </c>
      <c r="I133">
        <f t="shared" si="56"/>
        <v>-1.2958980541582636</v>
      </c>
      <c r="J133">
        <f t="shared" si="57"/>
        <v>0.81029132914758661</v>
      </c>
      <c r="K133">
        <f t="shared" si="58"/>
        <v>-11.723474553769018</v>
      </c>
      <c r="L133">
        <f t="shared" si="59"/>
        <v>66.474669135559523</v>
      </c>
      <c r="M133" s="268">
        <f t="shared" si="60"/>
        <v>-4.9567749042010636</v>
      </c>
      <c r="N133">
        <f t="shared" si="61"/>
        <v>0.43981038702158226</v>
      </c>
      <c r="O133">
        <f t="shared" si="62"/>
        <v>-1.2214694228993497</v>
      </c>
      <c r="Q133">
        <f t="shared" si="63"/>
        <v>-23.493182485288049</v>
      </c>
      <c r="R133">
        <f t="shared" si="64"/>
        <v>0</v>
      </c>
      <c r="S133">
        <f t="shared" si="65"/>
        <v>5.1786714993695075E-4</v>
      </c>
      <c r="T133">
        <f t="shared" si="66"/>
        <v>-0.56092985173570209</v>
      </c>
      <c r="U133">
        <f t="shared" si="67"/>
        <v>-4.0614158617594001</v>
      </c>
      <c r="V133">
        <f t="shared" si="68"/>
        <v>77.876044156232197</v>
      </c>
      <c r="W133">
        <f t="shared" si="69"/>
        <v>4.0614158617594001</v>
      </c>
      <c r="Y133">
        <f t="shared" si="70"/>
        <v>-4.4873988224691104</v>
      </c>
      <c r="Z133">
        <f t="shared" si="71"/>
        <v>-69.98504273641305</v>
      </c>
      <c r="AA133">
        <f t="shared" si="72"/>
        <v>0.42598296070971031</v>
      </c>
      <c r="AB133">
        <f t="shared" si="73"/>
        <v>147.86108689264526</v>
      </c>
    </row>
    <row r="134" spans="1:28">
      <c r="A134">
        <v>50815.944256056064</v>
      </c>
      <c r="B134" s="270">
        <f t="shared" si="74"/>
        <v>50.815944256056063</v>
      </c>
      <c r="D134">
        <f t="shared" si="51"/>
        <v>0.15006441733045092</v>
      </c>
      <c r="E134">
        <f t="shared" si="52"/>
        <v>5.8703796798063985</v>
      </c>
      <c r="F134">
        <f t="shared" si="53"/>
        <v>0.88343510615866616</v>
      </c>
      <c r="G134">
        <f t="shared" si="54"/>
        <v>5.8703796798063985</v>
      </c>
      <c r="H134">
        <f t="shared" si="55"/>
        <v>2133.503912339801</v>
      </c>
      <c r="I134">
        <f t="shared" si="56"/>
        <v>-1.3079841049024485</v>
      </c>
      <c r="J134">
        <f t="shared" si="57"/>
        <v>-0.28800019064101212</v>
      </c>
      <c r="K134">
        <f t="shared" si="58"/>
        <v>-12.290126276377547</v>
      </c>
      <c r="L134">
        <f t="shared" si="59"/>
        <v>71.936458900145993</v>
      </c>
      <c r="M134" s="268">
        <f t="shared" si="60"/>
        <v>-12.608971009861691</v>
      </c>
      <c r="N134">
        <f t="shared" si="61"/>
        <v>0.39999396396094644</v>
      </c>
      <c r="O134">
        <f t="shared" si="62"/>
        <v>-1.134467466220296</v>
      </c>
      <c r="Q134">
        <f t="shared" si="63"/>
        <v>-23.493182485288049</v>
      </c>
      <c r="R134">
        <f t="shared" si="64"/>
        <v>0</v>
      </c>
      <c r="S134">
        <f t="shared" si="65"/>
        <v>5.070998194685077E-4</v>
      </c>
      <c r="T134">
        <f t="shared" si="66"/>
        <v>-0.57677508846449577</v>
      </c>
      <c r="U134">
        <f t="shared" si="67"/>
        <v>-4.5647853753124252</v>
      </c>
      <c r="V134">
        <f t="shared" si="68"/>
        <v>81.953023893376454</v>
      </c>
      <c r="W134">
        <f t="shared" si="69"/>
        <v>4.5647853753124252</v>
      </c>
      <c r="Y134">
        <f t="shared" si="70"/>
        <v>-4.8995192641262468</v>
      </c>
      <c r="Z134">
        <f t="shared" si="71"/>
        <v>-65.000197809323254</v>
      </c>
      <c r="AA134">
        <f t="shared" si="72"/>
        <v>0.33473388881382249</v>
      </c>
      <c r="AB134">
        <f t="shared" si="73"/>
        <v>146.95322170269969</v>
      </c>
    </row>
    <row r="135" spans="1:28">
      <c r="A135">
        <v>53272.122432296215</v>
      </c>
      <c r="B135" s="270">
        <f t="shared" si="74"/>
        <v>53.272122432296214</v>
      </c>
      <c r="D135">
        <f t="shared" si="51"/>
        <v>0.15731774996597153</v>
      </c>
      <c r="E135">
        <f t="shared" si="52"/>
        <v>6.1407337500024255</v>
      </c>
      <c r="F135">
        <f t="shared" si="53"/>
        <v>0.96854641669048425</v>
      </c>
      <c r="G135">
        <f t="shared" si="54"/>
        <v>6.1407337500024255</v>
      </c>
      <c r="H135">
        <f t="shared" si="55"/>
        <v>2330.4764172352884</v>
      </c>
      <c r="I135">
        <f t="shared" si="56"/>
        <v>-1.319586674417544</v>
      </c>
      <c r="J135">
        <f t="shared" si="57"/>
        <v>-1.5558752545954966</v>
      </c>
      <c r="K135">
        <f t="shared" si="58"/>
        <v>-12.8841669930307</v>
      </c>
      <c r="L135">
        <f t="shared" si="59"/>
        <v>77.654482516152243</v>
      </c>
      <c r="M135" s="268">
        <f t="shared" si="60"/>
        <v>-22.0968383705166</v>
      </c>
      <c r="N135">
        <f t="shared" si="61"/>
        <v>0.35751789188293159</v>
      </c>
      <c r="O135">
        <f t="shared" si="62"/>
        <v>-1.0423607190197832</v>
      </c>
      <c r="Q135">
        <f t="shared" si="63"/>
        <v>-23.493182485288049</v>
      </c>
      <c r="R135">
        <f t="shared" si="64"/>
        <v>0</v>
      </c>
      <c r="S135">
        <f t="shared" si="65"/>
        <v>4.9581709557726297E-4</v>
      </c>
      <c r="T135">
        <f t="shared" si="66"/>
        <v>-0.59331736269525293</v>
      </c>
      <c r="U135">
        <f t="shared" si="67"/>
        <v>-5.1500615338058111</v>
      </c>
      <c r="V135">
        <f t="shared" si="68"/>
        <v>86.282549275673844</v>
      </c>
      <c r="W135">
        <f t="shared" si="69"/>
        <v>5.1500615338058111</v>
      </c>
      <c r="Y135">
        <f t="shared" si="70"/>
        <v>-5.3870758331813748</v>
      </c>
      <c r="Z135">
        <f t="shared" si="71"/>
        <v>-59.722869930055452</v>
      </c>
      <c r="AA135">
        <f t="shared" si="72"/>
        <v>0.2370142993755664</v>
      </c>
      <c r="AB135">
        <f t="shared" si="73"/>
        <v>146.00541920572931</v>
      </c>
    </row>
    <row r="136" spans="1:28">
      <c r="A136">
        <v>55847.019473683104</v>
      </c>
      <c r="B136" s="270">
        <f t="shared" si="74"/>
        <v>55.847019473683105</v>
      </c>
      <c r="D136">
        <f t="shared" si="51"/>
        <v>0.16492167093720442</v>
      </c>
      <c r="E136">
        <f t="shared" si="52"/>
        <v>6.4221887148510257</v>
      </c>
      <c r="F136">
        <f t="shared" si="53"/>
        <v>1.0616580939272886</v>
      </c>
      <c r="G136">
        <f t="shared" si="54"/>
        <v>6.4221887148510257</v>
      </c>
      <c r="H136">
        <f t="shared" si="55"/>
        <v>2546.9503503230803</v>
      </c>
      <c r="I136">
        <f t="shared" si="56"/>
        <v>-1.3307191022317069</v>
      </c>
      <c r="J136">
        <f t="shared" si="57"/>
        <v>-3.0306376450272769</v>
      </c>
      <c r="K136">
        <f t="shared" si="58"/>
        <v>-13.506920545101995</v>
      </c>
      <c r="L136">
        <f t="shared" si="59"/>
        <v>83.569672535576771</v>
      </c>
      <c r="M136" s="268">
        <f t="shared" si="60"/>
        <v>-33.869846671171217</v>
      </c>
      <c r="N136">
        <f t="shared" si="61"/>
        <v>0.31323731344806155</v>
      </c>
      <c r="O136">
        <f t="shared" si="62"/>
        <v>-0.94566180381673426</v>
      </c>
      <c r="Q136">
        <f t="shared" si="63"/>
        <v>-23.493182485288049</v>
      </c>
      <c r="R136">
        <f t="shared" si="64"/>
        <v>0</v>
      </c>
      <c r="S136">
        <f t="shared" si="65"/>
        <v>4.840223075380531E-4</v>
      </c>
      <c r="T136">
        <f t="shared" si="66"/>
        <v>-0.61053064727392137</v>
      </c>
      <c r="U136">
        <f t="shared" si="67"/>
        <v>-5.8288656291839516</v>
      </c>
      <c r="V136">
        <f t="shared" si="68"/>
        <v>90.836740442386642</v>
      </c>
      <c r="W136">
        <f t="shared" si="69"/>
        <v>5.8288656291839516</v>
      </c>
      <c r="Y136">
        <f t="shared" si="70"/>
        <v>-5.9613187366022302</v>
      </c>
      <c r="Z136">
        <f t="shared" si="71"/>
        <v>-54.182430205427316</v>
      </c>
      <c r="AA136">
        <f t="shared" si="72"/>
        <v>0.13245310741827865</v>
      </c>
      <c r="AB136">
        <f t="shared" si="73"/>
        <v>145.01917064781395</v>
      </c>
    </row>
    <row r="137" spans="1:28">
      <c r="A137">
        <v>58546.373632057759</v>
      </c>
      <c r="B137" s="270">
        <f t="shared" si="74"/>
        <v>58.546373632057758</v>
      </c>
      <c r="D137">
        <f t="shared" si="51"/>
        <v>0.17289312585898808</v>
      </c>
      <c r="E137">
        <f t="shared" si="52"/>
        <v>6.7150000320137719</v>
      </c>
      <c r="F137">
        <f t="shared" si="53"/>
        <v>1.163477345678066</v>
      </c>
      <c r="G137">
        <f t="shared" si="54"/>
        <v>6.7150000320137719</v>
      </c>
      <c r="H137">
        <f t="shared" si="55"/>
        <v>2784.856466871488</v>
      </c>
      <c r="I137">
        <f t="shared" si="56"/>
        <v>-1.3413951403416275</v>
      </c>
      <c r="J137">
        <f t="shared" si="57"/>
        <v>-4.761810013597537</v>
      </c>
      <c r="K137">
        <f t="shared" si="58"/>
        <v>-14.15977476156449</v>
      </c>
      <c r="L137">
        <f t="shared" si="59"/>
        <v>89.585810726006869</v>
      </c>
      <c r="M137" s="268">
        <f t="shared" si="60"/>
        <v>-48.52014801360388</v>
      </c>
      <c r="N137">
        <f t="shared" si="61"/>
        <v>0.26829519819160785</v>
      </c>
      <c r="O137">
        <f t="shared" si="62"/>
        <v>-0.84501985029141147</v>
      </c>
      <c r="Q137">
        <f t="shared" si="63"/>
        <v>-23.493182485288049</v>
      </c>
      <c r="R137">
        <f t="shared" si="64"/>
        <v>0</v>
      </c>
      <c r="S137">
        <f t="shared" si="65"/>
        <v>4.7172489490095957E-4</v>
      </c>
      <c r="T137">
        <f t="shared" si="66"/>
        <v>-0.62838553795796637</v>
      </c>
      <c r="U137">
        <f t="shared" si="67"/>
        <v>-6.6132373484373659</v>
      </c>
      <c r="V137">
        <f t="shared" si="68"/>
        <v>95.580089741476186</v>
      </c>
      <c r="W137">
        <f t="shared" si="69"/>
        <v>6.6132373484373659</v>
      </c>
      <c r="Y137">
        <f t="shared" si="70"/>
        <v>-6.6339246418104105</v>
      </c>
      <c r="Z137">
        <f t="shared" si="71"/>
        <v>-48.416071026474548</v>
      </c>
      <c r="AA137">
        <f t="shared" si="72"/>
        <v>2.0687293373036653E-2</v>
      </c>
      <c r="AB137">
        <f t="shared" si="73"/>
        <v>143.99616076795073</v>
      </c>
    </row>
    <row r="138" spans="1:28">
      <c r="A138">
        <v>61376.200516479468</v>
      </c>
      <c r="B138" s="270">
        <f t="shared" si="74"/>
        <v>61.376200516479472</v>
      </c>
      <c r="D138">
        <f t="shared" si="51"/>
        <v>0.1812498794089564</v>
      </c>
      <c r="E138">
        <f t="shared" si="52"/>
        <v>7.0193973136443484</v>
      </c>
      <c r="F138">
        <f t="shared" si="53"/>
        <v>1.2747649166215906</v>
      </c>
      <c r="G138">
        <f t="shared" si="54"/>
        <v>7.0193973136443484</v>
      </c>
      <c r="H138">
        <f t="shared" si="55"/>
        <v>3046.3166781949026</v>
      </c>
      <c r="I138">
        <f t="shared" si="56"/>
        <v>-1.3516288280834978</v>
      </c>
      <c r="J138">
        <f t="shared" si="57"/>
        <v>-6.816837008786945</v>
      </c>
      <c r="K138">
        <f t="shared" si="58"/>
        <v>-14.844184551818188</v>
      </c>
      <c r="L138">
        <f t="shared" si="59"/>
        <v>95.550545329181489</v>
      </c>
      <c r="M138" s="268">
        <f t="shared" si="60"/>
        <v>-66.846333765789765</v>
      </c>
      <c r="N138">
        <f t="shared" si="61"/>
        <v>0.22402123280294817</v>
      </c>
      <c r="O138">
        <f t="shared" si="62"/>
        <v>-0.74117718676903188</v>
      </c>
      <c r="Q138">
        <f t="shared" si="63"/>
        <v>-23.493182485288049</v>
      </c>
      <c r="R138">
        <f t="shared" si="64"/>
        <v>0</v>
      </c>
      <c r="S138">
        <f t="shared" si="65"/>
        <v>4.5894074845749213E-4</v>
      </c>
      <c r="T138">
        <f t="shared" si="66"/>
        <v>-0.64684919380063299</v>
      </c>
      <c r="U138">
        <f t="shared" si="67"/>
        <v>-7.515796287766733</v>
      </c>
      <c r="V138">
        <f t="shared" si="68"/>
        <v>100.47194654053878</v>
      </c>
      <c r="W138">
        <f t="shared" si="69"/>
        <v>7.515796287766733</v>
      </c>
      <c r="Y138">
        <f t="shared" si="70"/>
        <v>-7.4171618129234504</v>
      </c>
      <c r="Z138">
        <f t="shared" si="71"/>
        <v>-42.46632467324509</v>
      </c>
      <c r="AA138">
        <f t="shared" si="72"/>
        <v>-9.8634474843287023E-2</v>
      </c>
      <c r="AB138">
        <f t="shared" si="73"/>
        <v>142.93827121378388</v>
      </c>
    </row>
    <row r="139" spans="1:28">
      <c r="A139">
        <v>64342.806499229788</v>
      </c>
      <c r="B139" s="270">
        <f t="shared" si="74"/>
        <v>64.342806499229795</v>
      </c>
      <c r="D139">
        <f t="shared" si="51"/>
        <v>0.19001055491677013</v>
      </c>
      <c r="E139">
        <f t="shared" si="52"/>
        <v>7.3355783937980901</v>
      </c>
      <c r="F139">
        <f t="shared" si="53"/>
        <v>1.3963373212410444</v>
      </c>
      <c r="G139">
        <f t="shared" si="54"/>
        <v>7.3355783937980901</v>
      </c>
      <c r="H139">
        <f t="shared" si="55"/>
        <v>3333.6629772186079</v>
      </c>
      <c r="I139">
        <f t="shared" si="56"/>
        <v>-1.3614343813332457</v>
      </c>
      <c r="J139">
        <f t="shared" si="57"/>
        <v>-9.2903870117912621</v>
      </c>
      <c r="K139">
        <f t="shared" si="58"/>
        <v>-15.561675148008643</v>
      </c>
      <c r="L139">
        <f t="shared" si="59"/>
        <v>101.22455469773692</v>
      </c>
      <c r="M139" s="268">
        <f t="shared" si="60"/>
        <v>-89.956658527659116</v>
      </c>
      <c r="N139">
        <f t="shared" si="61"/>
        <v>0.18178383290428779</v>
      </c>
      <c r="O139">
        <f t="shared" si="62"/>
        <v>-0.63490641716230933</v>
      </c>
      <c r="Q139">
        <f t="shared" si="63"/>
        <v>-23.493182485288049</v>
      </c>
      <c r="R139">
        <f t="shared" si="64"/>
        <v>0</v>
      </c>
      <c r="S139">
        <f t="shared" si="65"/>
        <v>4.4569243879667421E-4</v>
      </c>
      <c r="T139">
        <f t="shared" si="66"/>
        <v>-0.66588533671400341</v>
      </c>
      <c r="U139">
        <f t="shared" si="67"/>
        <v>-8.5503490862280955</v>
      </c>
      <c r="V139">
        <f t="shared" si="68"/>
        <v>105.47012247746714</v>
      </c>
      <c r="W139">
        <f t="shared" si="69"/>
        <v>8.5503490862280955</v>
      </c>
      <c r="Y139">
        <f t="shared" si="70"/>
        <v>-8.3245010788099716</v>
      </c>
      <c r="Z139">
        <f t="shared" si="71"/>
        <v>-36.377458089172741</v>
      </c>
      <c r="AA139">
        <f t="shared" si="72"/>
        <v>-0.22584800741812927</v>
      </c>
      <c r="AB139">
        <f t="shared" si="73"/>
        <v>141.84758056663986</v>
      </c>
    </row>
    <row r="140" spans="1:28">
      <c r="A140">
        <v>67452.802769792397</v>
      </c>
      <c r="B140" s="270">
        <f t="shared" si="74"/>
        <v>67.452802769792399</v>
      </c>
      <c r="D140">
        <f t="shared" si="51"/>
        <v>0.19919467586688377</v>
      </c>
      <c r="E140">
        <f t="shared" si="52"/>
        <v>7.6637026637364851</v>
      </c>
      <c r="F140">
        <f t="shared" si="53"/>
        <v>1.5290687680431629</v>
      </c>
      <c r="G140">
        <f t="shared" si="54"/>
        <v>7.6637026637364851</v>
      </c>
      <c r="H140">
        <f t="shared" si="55"/>
        <v>3649.4582377849715</v>
      </c>
      <c r="I140">
        <f t="shared" si="56"/>
        <v>-1.3708260951954723</v>
      </c>
      <c r="J140">
        <f t="shared" si="57"/>
        <v>-12.320235401701574</v>
      </c>
      <c r="K140">
        <f t="shared" si="58"/>
        <v>-16.313845504062243</v>
      </c>
      <c r="L140">
        <f t="shared" si="59"/>
        <v>106.22915490162292</v>
      </c>
      <c r="M140" s="268">
        <f t="shared" si="60"/>
        <v>-119.44428030661582</v>
      </c>
      <c r="N140">
        <f t="shared" si="61"/>
        <v>0.14282716547247551</v>
      </c>
      <c r="O140">
        <f t="shared" si="62"/>
        <v>-0.52693610703781801</v>
      </c>
      <c r="Q140">
        <f t="shared" si="63"/>
        <v>-23.493182485288049</v>
      </c>
      <c r="R140">
        <f t="shared" si="64"/>
        <v>0</v>
      </c>
      <c r="S140">
        <f t="shared" si="65"/>
        <v>4.3200930815872317E-4</v>
      </c>
      <c r="T140">
        <f t="shared" si="66"/>
        <v>-0.68545431657985645</v>
      </c>
      <c r="U140">
        <f t="shared" si="67"/>
        <v>-9.733215095546015</v>
      </c>
      <c r="V140">
        <f t="shared" si="68"/>
        <v>110.53514560462925</v>
      </c>
      <c r="W140">
        <f t="shared" si="69"/>
        <v>9.733215095546015</v>
      </c>
      <c r="Y140">
        <f t="shared" si="70"/>
        <v>-9.3719454681156193</v>
      </c>
      <c r="Z140">
        <f t="shared" si="71"/>
        <v>-30.191215006320768</v>
      </c>
      <c r="AA140">
        <f t="shared" si="72"/>
        <v>-0.3612696274303957</v>
      </c>
      <c r="AB140">
        <f t="shared" si="73"/>
        <v>140.72636061095002</v>
      </c>
    </row>
    <row r="141" spans="1:28">
      <c r="A141">
        <v>70713.1200681302</v>
      </c>
      <c r="B141" s="270">
        <f t="shared" si="74"/>
        <v>70.713120068130195</v>
      </c>
      <c r="D141">
        <f t="shared" si="51"/>
        <v>0.20882270940734374</v>
      </c>
      <c r="E141">
        <f t="shared" si="52"/>
        <v>8.0038836313624344</v>
      </c>
      <c r="F141">
        <f t="shared" si="53"/>
        <v>1.6738926656821926</v>
      </c>
      <c r="G141">
        <f t="shared" si="54"/>
        <v>8.0038836313624344</v>
      </c>
      <c r="H141">
        <f t="shared" si="55"/>
        <v>3996.5190732125047</v>
      </c>
      <c r="I141">
        <f t="shared" si="56"/>
        <v>-1.3798182592520987</v>
      </c>
      <c r="J141">
        <f t="shared" si="57"/>
        <v>-16.115926139801076</v>
      </c>
      <c r="K141">
        <f t="shared" si="58"/>
        <v>-17.10237185901341</v>
      </c>
      <c r="L141">
        <f t="shared" si="59"/>
        <v>109.95224443777924</v>
      </c>
      <c r="M141" s="268">
        <f t="shared" si="60"/>
        <v>-157.70209911012543</v>
      </c>
      <c r="N141">
        <f t="shared" si="61"/>
        <v>0.10813254191910163</v>
      </c>
      <c r="O141">
        <f t="shared" si="62"/>
        <v>-0.41787621782761331</v>
      </c>
      <c r="Q141">
        <f t="shared" si="63"/>
        <v>-23.493182485288049</v>
      </c>
      <c r="R141">
        <f t="shared" si="64"/>
        <v>0</v>
      </c>
      <c r="S141">
        <f t="shared" si="65"/>
        <v>4.1792740468423378E-4</v>
      </c>
      <c r="T141">
        <f t="shared" si="66"/>
        <v>-0.70551324664583837</v>
      </c>
      <c r="U141">
        <f t="shared" si="67"/>
        <v>-11.085681689408048</v>
      </c>
      <c r="V141">
        <f t="shared" si="68"/>
        <v>115.63452493620949</v>
      </c>
      <c r="W141">
        <f t="shared" si="69"/>
        <v>11.085681689408048</v>
      </c>
      <c r="Y141">
        <f t="shared" si="70"/>
        <v>-10.580489518837329</v>
      </c>
      <c r="Z141">
        <f t="shared" si="71"/>
        <v>-23.942543640411692</v>
      </c>
      <c r="AA141">
        <f t="shared" si="72"/>
        <v>-0.50519217057071586</v>
      </c>
      <c r="AB141">
        <f t="shared" si="73"/>
        <v>139.57706857662117</v>
      </c>
    </row>
    <row r="142" spans="1:28">
      <c r="A142">
        <v>74131.024130091857</v>
      </c>
      <c r="B142" s="270">
        <f t="shared" si="74"/>
        <v>74.131024130091859</v>
      </c>
      <c r="D142">
        <f t="shared" si="51"/>
        <v>0.21891611196157323</v>
      </c>
      <c r="E142">
        <f t="shared" si="52"/>
        <v>8.356180669393062</v>
      </c>
      <c r="F142">
        <f t="shared" si="53"/>
        <v>1.8318025829919855</v>
      </c>
      <c r="G142">
        <f t="shared" si="54"/>
        <v>8.356180669393062</v>
      </c>
      <c r="H142">
        <f t="shared" si="55"/>
        <v>4377.9409579857083</v>
      </c>
      <c r="I142">
        <f t="shared" si="56"/>
        <v>-1.3884250843940986</v>
      </c>
      <c r="J142">
        <f t="shared" si="57"/>
        <v>-21.014128431869388</v>
      </c>
      <c r="K142">
        <f t="shared" si="58"/>
        <v>-17.929011472564358</v>
      </c>
      <c r="L142">
        <f t="shared" si="59"/>
        <v>111.36750517158228</v>
      </c>
      <c r="M142" s="268">
        <f t="shared" si="60"/>
        <v>-208.52891768889799</v>
      </c>
      <c r="N142">
        <f t="shared" si="61"/>
        <v>7.8335544070485472E-2</v>
      </c>
      <c r="O142">
        <f t="shared" si="62"/>
        <v>-0.30815371446968065</v>
      </c>
      <c r="Q142">
        <f t="shared" si="63"/>
        <v>-23.493182485288049</v>
      </c>
      <c r="R142">
        <f t="shared" si="64"/>
        <v>0</v>
      </c>
      <c r="S142">
        <f t="shared" si="65"/>
        <v>4.0348924337680264E-4</v>
      </c>
      <c r="T142">
        <f t="shared" si="66"/>
        <v>-0.72601621186689513</v>
      </c>
      <c r="U142">
        <f t="shared" si="67"/>
        <v>-12.638346057325975</v>
      </c>
      <c r="V142">
        <f t="shared" si="68"/>
        <v>120.74642792155896</v>
      </c>
      <c r="W142">
        <f t="shared" si="69"/>
        <v>12.638346057325975</v>
      </c>
      <c r="Y142">
        <f t="shared" si="70"/>
        <v>-11.980465000304026</v>
      </c>
      <c r="Z142">
        <f t="shared" si="71"/>
        <v>-17.65590728039215</v>
      </c>
      <c r="AA142">
        <f t="shared" si="72"/>
        <v>-0.6578810570219602</v>
      </c>
      <c r="AB142">
        <f t="shared" si="73"/>
        <v>138.40233520195113</v>
      </c>
    </row>
    <row r="143" spans="1:28">
      <c r="A143">
        <v>77714.131879368098</v>
      </c>
      <c r="B143" s="270">
        <f t="shared" si="74"/>
        <v>77.714131879368097</v>
      </c>
      <c r="D143">
        <f t="shared" si="51"/>
        <v>0.22949737704479128</v>
      </c>
      <c r="E143">
        <f t="shared" si="52"/>
        <v>8.7205899290567555</v>
      </c>
      <c r="F143">
        <f t="shared" si="53"/>
        <v>2.0038525150017477</v>
      </c>
      <c r="G143">
        <f t="shared" si="54"/>
        <v>8.7205899290567555</v>
      </c>
      <c r="H143">
        <f t="shared" si="55"/>
        <v>4797.1258366388165</v>
      </c>
      <c r="I143">
        <f t="shared" si="56"/>
        <v>-1.3966606402446728</v>
      </c>
      <c r="J143">
        <f t="shared" si="57"/>
        <v>-27.595149369673372</v>
      </c>
      <c r="K143">
        <f t="shared" si="58"/>
        <v>-18.795606541202165</v>
      </c>
      <c r="L143">
        <f t="shared" si="59"/>
        <v>108.65534847148922</v>
      </c>
      <c r="M143" s="268">
        <f t="shared" si="60"/>
        <v>-278.40254458997811</v>
      </c>
      <c r="N143">
        <f t="shared" si="61"/>
        <v>5.3710816892152562E-2</v>
      </c>
      <c r="O143">
        <f t="shared" si="62"/>
        <v>-0.19796465606979363</v>
      </c>
      <c r="Q143">
        <f t="shared" si="63"/>
        <v>-23.493182485288049</v>
      </c>
      <c r="R143">
        <f t="shared" si="64"/>
        <v>0</v>
      </c>
      <c r="S143">
        <f t="shared" si="65"/>
        <v>3.8874338502975888E-4</v>
      </c>
      <c r="T143">
        <f t="shared" si="66"/>
        <v>-0.74691455039428323</v>
      </c>
      <c r="U143">
        <f t="shared" si="67"/>
        <v>-14.439006615368697</v>
      </c>
      <c r="V143">
        <f t="shared" si="68"/>
        <v>125.86240931993805</v>
      </c>
      <c r="W143">
        <f t="shared" si="69"/>
        <v>14.439006615368697</v>
      </c>
      <c r="Y143">
        <f t="shared" si="70"/>
        <v>-13.619436064994211</v>
      </c>
      <c r="Z143">
        <f t="shared" si="71"/>
        <v>-11.34253928555807</v>
      </c>
      <c r="AA143">
        <f t="shared" si="72"/>
        <v>-0.81957055037448612</v>
      </c>
      <c r="AB143">
        <f t="shared" si="73"/>
        <v>137.20494860549613</v>
      </c>
    </row>
    <row r="144" spans="1:28">
      <c r="A144">
        <v>81470.428402083955</v>
      </c>
      <c r="B144" s="270">
        <f t="shared" si="74"/>
        <v>81.470428402083954</v>
      </c>
      <c r="D144">
        <f t="shared" si="51"/>
        <v>0.24059008539163215</v>
      </c>
      <c r="E144">
        <f t="shared" si="52"/>
        <v>9.0970344128745122</v>
      </c>
      <c r="F144">
        <f t="shared" si="53"/>
        <v>2.191156286204095</v>
      </c>
      <c r="G144">
        <f t="shared" si="54"/>
        <v>9.0970344128745122</v>
      </c>
      <c r="H144">
        <f t="shared" si="55"/>
        <v>5257.8124660803778</v>
      </c>
      <c r="I144">
        <f t="shared" si="56"/>
        <v>-1.4045388021925387</v>
      </c>
      <c r="J144">
        <f t="shared" si="57"/>
        <v>-36.957466136351655</v>
      </c>
      <c r="K144">
        <f t="shared" si="58"/>
        <v>-19.704088303600862</v>
      </c>
      <c r="L144">
        <f t="shared" si="59"/>
        <v>98.312365949370545</v>
      </c>
      <c r="M144" s="268">
        <f t="shared" si="60"/>
        <v>-379.47550988278061</v>
      </c>
      <c r="N144">
        <f t="shared" si="61"/>
        <v>3.4215628709963253E-2</v>
      </c>
      <c r="O144">
        <f t="shared" si="62"/>
        <v>-8.7243287821406224E-2</v>
      </c>
      <c r="Q144">
        <f t="shared" si="63"/>
        <v>-23.493182485288049</v>
      </c>
      <c r="R144">
        <f t="shared" si="64"/>
        <v>0</v>
      </c>
      <c r="S144">
        <f t="shared" si="65"/>
        <v>3.7374383270725461E-4</v>
      </c>
      <c r="T144">
        <f t="shared" si="66"/>
        <v>-0.76815720568354684</v>
      </c>
      <c r="U144">
        <f t="shared" si="67"/>
        <v>-16.568268717316627</v>
      </c>
      <c r="V144">
        <f t="shared" si="68"/>
        <v>130.98916192875839</v>
      </c>
      <c r="W144">
        <f t="shared" si="69"/>
        <v>16.568268717316627</v>
      </c>
      <c r="Y144">
        <f t="shared" si="70"/>
        <v>-15.577808396063588</v>
      </c>
      <c r="Z144">
        <f t="shared" si="71"/>
        <v>-4.9986721830116716</v>
      </c>
      <c r="AA144">
        <f t="shared" si="72"/>
        <v>-0.99046032125303185</v>
      </c>
      <c r="AB144">
        <f t="shared" si="73"/>
        <v>135.98783411177007</v>
      </c>
    </row>
    <row r="145" spans="1:28">
      <c r="A145">
        <v>85408.284741854455</v>
      </c>
      <c r="B145" s="270">
        <f t="shared" si="74"/>
        <v>85.408284741854459</v>
      </c>
      <c r="D145">
        <f t="shared" si="51"/>
        <v>0.25221895750667228</v>
      </c>
      <c r="E145">
        <f t="shared" si="52"/>
        <v>9.4853532222854806</v>
      </c>
      <c r="F145">
        <f t="shared" si="53"/>
        <v>2.3948859013073984</v>
      </c>
      <c r="G145">
        <f t="shared" si="54"/>
        <v>9.4853532222854806</v>
      </c>
      <c r="H145">
        <f t="shared" si="55"/>
        <v>5764.1097619851598</v>
      </c>
      <c r="I145">
        <f t="shared" si="56"/>
        <v>-1.4120732070833701</v>
      </c>
      <c r="J145">
        <f t="shared" si="57"/>
        <v>-51.473913474417543</v>
      </c>
      <c r="K145">
        <f t="shared" si="58"/>
        <v>-20.656481344457241</v>
      </c>
      <c r="L145">
        <f t="shared" si="59"/>
        <v>72.703053040765127</v>
      </c>
      <c r="M145" s="268">
        <f t="shared" si="60"/>
        <v>-537.82030799807478</v>
      </c>
      <c r="N145">
        <f t="shared" si="61"/>
        <v>1.9570108880350715E-2</v>
      </c>
      <c r="O145">
        <f t="shared" si="62"/>
        <v>2.4356697819018169E-2</v>
      </c>
      <c r="Q145">
        <f t="shared" si="63"/>
        <v>-23.493182485288049</v>
      </c>
      <c r="R145">
        <f t="shared" si="64"/>
        <v>0</v>
      </c>
      <c r="S145">
        <f t="shared" si="65"/>
        <v>3.5854925462478442E-4</v>
      </c>
      <c r="T145">
        <f t="shared" si="66"/>
        <v>-0.78969114383229777</v>
      </c>
      <c r="U145">
        <f t="shared" si="67"/>
        <v>-19.174833652923184</v>
      </c>
      <c r="V145">
        <f t="shared" si="68"/>
        <v>136.14956632745611</v>
      </c>
      <c r="W145">
        <f t="shared" si="69"/>
        <v>19.174833652923184</v>
      </c>
      <c r="Y145">
        <f t="shared" si="70"/>
        <v>-18.004121222374412</v>
      </c>
      <c r="Z145">
        <f t="shared" si="71"/>
        <v>1.395535987905238</v>
      </c>
      <c r="AA145">
        <f t="shared" si="72"/>
        <v>-1.1707124305487682</v>
      </c>
      <c r="AB145">
        <f t="shared" si="73"/>
        <v>134.75403033955089</v>
      </c>
    </row>
    <row r="146" spans="1:28">
      <c r="A146">
        <v>89536.476554959416</v>
      </c>
      <c r="B146" s="270">
        <f t="shared" si="74"/>
        <v>89.536476554959421</v>
      </c>
      <c r="D146">
        <f t="shared" ref="D146:D200" si="75">B146*$C$9*1000</f>
        <v>0.26440990875497278</v>
      </c>
      <c r="E146">
        <f t="shared" ref="E146:E200" si="76">B146*1000*$C$18/(1+D146^2)</f>
        <v>9.8852900243471513</v>
      </c>
      <c r="F146">
        <f t="shared" ref="F146:F200" si="77">D146*E146+$C$24</f>
        <v>2.616268633354073</v>
      </c>
      <c r="G146">
        <f t="shared" ref="G146:G200" si="78">E146</f>
        <v>9.8852900243471513</v>
      </c>
      <c r="H146">
        <f t="shared" ref="H146:H200" si="79">($C$40+($C$34*B146*1000)^2)</f>
        <v>6320.5334466734084</v>
      </c>
      <c r="I146">
        <f t="shared" ref="I146:I200" si="80">ATAN2($C$41,-(B146*1000))</f>
        <v>-1.4192772166605561</v>
      </c>
      <c r="J146">
        <f t="shared" ref="J146:J200" si="81">$C$48+$C$38*(B146*1000)/TAN($C$50*(B146*1000))</f>
        <v>-77.424459007189284</v>
      </c>
      <c r="K146">
        <f t="shared" ref="K146:K200" si="82">$C$51*B146*1000</f>
        <v>-21.654908106351392</v>
      </c>
      <c r="L146">
        <f t="shared" ref="L146:L200" si="83">F146*J146-G146*K146+$C$44</f>
        <v>11.545044350989379</v>
      </c>
      <c r="M146" s="268">
        <f t="shared" ref="M146:M200" si="84">J146*G146+K146*F146+($C$55+$C$65)*B146*1000</f>
        <v>-822.12536708345192</v>
      </c>
      <c r="N146">
        <f t="shared" ref="N146:N200" si="85">H146/(L146^2+M146^2)</f>
        <v>9.3495778088126241E-3</v>
      </c>
      <c r="O146">
        <f t="shared" ref="O146:O200" si="86">I146-ATAN2(L146,M146)</f>
        <v>0.13747710876276908</v>
      </c>
      <c r="Q146">
        <f t="shared" si="63"/>
        <v>-23.493182485288049</v>
      </c>
      <c r="R146">
        <f t="shared" si="64"/>
        <v>0</v>
      </c>
      <c r="S146">
        <f t="shared" si="65"/>
        <v>3.4322205179644687E-4</v>
      </c>
      <c r="T146">
        <f t="shared" si="66"/>
        <v>-0.81146182793996469</v>
      </c>
      <c r="U146">
        <f t="shared" si="67"/>
        <v>-22.572582477476786</v>
      </c>
      <c r="V146">
        <f t="shared" si="68"/>
        <v>141.38352013483669</v>
      </c>
      <c r="W146">
        <f t="shared" si="69"/>
        <v>22.572582477476786</v>
      </c>
      <c r="Y146">
        <f t="shared" si="70"/>
        <v>-21.212133639080747</v>
      </c>
      <c r="Z146">
        <f t="shared" si="71"/>
        <v>7.876858111767655</v>
      </c>
      <c r="AA146">
        <f t="shared" si="72"/>
        <v>-1.3604488383960458</v>
      </c>
      <c r="AB146">
        <f t="shared" si="73"/>
        <v>133.50666202306905</v>
      </c>
    </row>
    <row r="147" spans="1:28">
      <c r="A147">
        <v>93864.203667213733</v>
      </c>
      <c r="B147" s="270">
        <f t="shared" si="74"/>
        <v>93.864203667213729</v>
      </c>
      <c r="D147">
        <f t="shared" si="75"/>
        <v>0.27719010711541625</v>
      </c>
      <c r="E147">
        <f t="shared" si="76"/>
        <v>10.296480817281312</v>
      </c>
      <c r="F147">
        <f t="shared" si="77"/>
        <v>2.8565826206540352</v>
      </c>
      <c r="G147">
        <f t="shared" si="78"/>
        <v>10.296480817281312</v>
      </c>
      <c r="H147">
        <f t="shared" si="79"/>
        <v>6932.0463253443759</v>
      </c>
      <c r="I147">
        <f t="shared" si="80"/>
        <v>-1.426163887898974</v>
      </c>
      <c r="J147">
        <f t="shared" si="81"/>
        <v>-138.77786707762795</v>
      </c>
      <c r="K147">
        <f t="shared" si="82"/>
        <v>-22.701593619687486</v>
      </c>
      <c r="L147">
        <f t="shared" si="83"/>
        <v>-162.64073917452257</v>
      </c>
      <c r="M147" s="268">
        <f t="shared" si="84"/>
        <v>-1493.8848775977347</v>
      </c>
      <c r="N147">
        <f t="shared" si="85"/>
        <v>3.0697981218469001E-3</v>
      </c>
      <c r="O147">
        <f t="shared" si="86"/>
        <v>0.25307632593440688</v>
      </c>
      <c r="Q147">
        <f t="shared" ref="Q147:Q200" si="87">$P$4+10*LOG((1+($P$6*B147)^2)/(1+($P$8*B147)^2))</f>
        <v>-23.493182485288049</v>
      </c>
      <c r="R147">
        <f t="shared" ref="R147:R200" si="88">DEGREES(ATAN(B147*$P$6)-ATAN(B147*$P$8))</f>
        <v>0</v>
      </c>
      <c r="S147">
        <f t="shared" ref="S147:S200" si="89">((1+($P$24*B147*1000)^2)/((1-$P$28*B147*1000*$P$24*B147*1000)^2+$P$31*(B147*1000)^2))/(1+(B147/fea)^2)</f>
        <v>3.2782729785832784E-4</v>
      </c>
      <c r="T147">
        <f t="shared" ref="T147:T200" si="90">ATAN(B147*1000*$P$24)-ATAN2(1-$P$24*B147*1000*$P$28*B147*1000,B147*1000*$P$30)-ATAN(B147/fea)</f>
        <v>-0.83341373869078417</v>
      </c>
      <c r="U147">
        <f t="shared" ref="U147:U200" si="91">10*LOG(N147*S147)+Q147+$P$21</f>
        <v>-27.608705011355354</v>
      </c>
      <c r="V147">
        <f t="shared" ref="V147:V200" si="92">DEGREES(T147+O147)+R147+180</f>
        <v>146.74911555551796</v>
      </c>
      <c r="W147">
        <f t="shared" ref="W147:W200" si="93">-U147</f>
        <v>27.608705011355354</v>
      </c>
      <c r="Y147">
        <f t="shared" ref="Y147:Y200" si="94">10*LOG(N147)+20*LOG($C$29)</f>
        <v>-26.048955480980158</v>
      </c>
      <c r="Z147">
        <f t="shared" ref="Z147:Z200" si="95">DEGREES(O147)</f>
        <v>14.500205370718733</v>
      </c>
      <c r="AA147">
        <f t="shared" ref="AA147:AA200" si="96">10*LOG(S147)+Q147+$P$37</f>
        <v>-1.5597495303752069</v>
      </c>
      <c r="AB147">
        <f t="shared" ref="AB147:AB200" si="97">DEGREES(T147+R147)+180</f>
        <v>132.24891018479923</v>
      </c>
    </row>
    <row r="148" spans="1:28">
      <c r="A148">
        <v>98401.110576113613</v>
      </c>
      <c r="B148" s="270">
        <f t="shared" si="74"/>
        <v>98.401110576113609</v>
      </c>
      <c r="D148">
        <f t="shared" si="75"/>
        <v>0.29058803372553571</v>
      </c>
      <c r="E148">
        <f t="shared" si="76"/>
        <v>10.718441117922101</v>
      </c>
      <c r="F148">
        <f t="shared" si="77"/>
        <v>3.1171507290599161</v>
      </c>
      <c r="G148">
        <f t="shared" si="78"/>
        <v>10.718441117922101</v>
      </c>
      <c r="H148">
        <f t="shared" si="79"/>
        <v>7604.102549891938</v>
      </c>
      <c r="I148">
        <f t="shared" si="80"/>
        <v>-1.4327459494338086</v>
      </c>
      <c r="J148">
        <f t="shared" si="81"/>
        <v>-489.44404189579757</v>
      </c>
      <c r="K148">
        <f t="shared" si="82"/>
        <v>-23.798870461254868</v>
      </c>
      <c r="L148">
        <f t="shared" si="83"/>
        <v>-1270.5408794934642</v>
      </c>
      <c r="M148" s="268">
        <f t="shared" si="84"/>
        <v>-5320.3794893149361</v>
      </c>
      <c r="N148">
        <f t="shared" si="85"/>
        <v>2.54141764425352E-4</v>
      </c>
      <c r="O148">
        <f t="shared" si="86"/>
        <v>0.37246649655530351</v>
      </c>
      <c r="Q148">
        <f t="shared" si="87"/>
        <v>-23.493182485288049</v>
      </c>
      <c r="R148">
        <f t="shared" si="88"/>
        <v>0</v>
      </c>
      <c r="S148">
        <f t="shared" si="89"/>
        <v>3.1243158626988654E-4</v>
      </c>
      <c r="T148">
        <f t="shared" si="90"/>
        <v>-0.85549092818111228</v>
      </c>
      <c r="U148">
        <f t="shared" si="91"/>
        <v>-38.637944566208446</v>
      </c>
      <c r="V148">
        <f t="shared" si="92"/>
        <v>152.32473866613574</v>
      </c>
      <c r="W148">
        <f t="shared" si="93"/>
        <v>38.637944566208446</v>
      </c>
      <c r="Y148">
        <f t="shared" si="94"/>
        <v>-36.869293233802402</v>
      </c>
      <c r="Z148">
        <f t="shared" si="95"/>
        <v>21.340758262642908</v>
      </c>
      <c r="AA148">
        <f t="shared" si="96"/>
        <v>-1.7686513324060442</v>
      </c>
      <c r="AB148">
        <f t="shared" si="97"/>
        <v>130.98398040349284</v>
      </c>
    </row>
    <row r="149" spans="1:28">
      <c r="A149">
        <v>103157.30794395138</v>
      </c>
      <c r="B149" s="270">
        <f t="shared" si="74"/>
        <v>103.15730794395138</v>
      </c>
      <c r="D149">
        <f t="shared" si="75"/>
        <v>0.30463354635276857</v>
      </c>
      <c r="E149">
        <f t="shared" si="76"/>
        <v>11.150552745603104</v>
      </c>
      <c r="F149">
        <f t="shared" si="77"/>
        <v>3.3993324266866738</v>
      </c>
      <c r="G149">
        <f t="shared" si="78"/>
        <v>11.150552745603104</v>
      </c>
      <c r="H149">
        <f t="shared" si="79"/>
        <v>8342.6962650966852</v>
      </c>
      <c r="I149">
        <f t="shared" si="80"/>
        <v>-1.4390357833478242</v>
      </c>
      <c r="J149">
        <f t="shared" si="81"/>
        <v>357.43444481150794</v>
      </c>
      <c r="K149">
        <f t="shared" si="82"/>
        <v>-24.949183952460618</v>
      </c>
      <c r="L149">
        <f t="shared" si="83"/>
        <v>1493.2788711082112</v>
      </c>
      <c r="M149" s="268">
        <f t="shared" si="84"/>
        <v>3900.657692603158</v>
      </c>
      <c r="N149">
        <f t="shared" si="85"/>
        <v>4.7822816969364393E-4</v>
      </c>
      <c r="O149">
        <f t="shared" si="86"/>
        <v>-2.6442167318796725</v>
      </c>
      <c r="Q149">
        <f t="shared" si="87"/>
        <v>-23.493182485288049</v>
      </c>
      <c r="R149">
        <f t="shared" si="88"/>
        <v>0</v>
      </c>
      <c r="S149">
        <f t="shared" si="89"/>
        <v>2.9710182593610811E-4</v>
      </c>
      <c r="T149">
        <f t="shared" si="90"/>
        <v>-0.87763759240483441</v>
      </c>
      <c r="U149">
        <f t="shared" si="91"/>
        <v>-36.11084955945222</v>
      </c>
      <c r="V149">
        <f t="shared" si="92"/>
        <v>-21.787388841400656</v>
      </c>
      <c r="W149">
        <f t="shared" si="93"/>
        <v>36.11084955945222</v>
      </c>
      <c r="Y149">
        <f t="shared" si="94"/>
        <v>-34.123702098010853</v>
      </c>
      <c r="Z149">
        <f t="shared" si="95"/>
        <v>-151.50245885458082</v>
      </c>
      <c r="AA149">
        <f t="shared" si="96"/>
        <v>-1.9871474614413742</v>
      </c>
      <c r="AB149">
        <f t="shared" si="97"/>
        <v>129.7150700131802</v>
      </c>
    </row>
    <row r="150" spans="1:28">
      <c r="A150">
        <v>108143.39512979409</v>
      </c>
      <c r="B150" s="270">
        <f t="shared" si="74"/>
        <v>108.1433951297941</v>
      </c>
      <c r="D150">
        <f t="shared" si="75"/>
        <v>0.31935794593357819</v>
      </c>
      <c r="E150">
        <f t="shared" si="76"/>
        <v>11.592050436783371</v>
      </c>
      <c r="F150">
        <f t="shared" si="77"/>
        <v>3.7045134166495752</v>
      </c>
      <c r="G150">
        <f t="shared" si="78"/>
        <v>11.592050436783371</v>
      </c>
      <c r="H150">
        <f t="shared" si="79"/>
        <v>9154.4150710748563</v>
      </c>
      <c r="I150">
        <f t="shared" si="80"/>
        <v>-1.4450454116426825</v>
      </c>
      <c r="J150">
        <f t="shared" si="81"/>
        <v>132.48353207292206</v>
      </c>
      <c r="K150">
        <f t="shared" si="82"/>
        <v>-26.155097608817243</v>
      </c>
      <c r="L150">
        <f t="shared" si="83"/>
        <v>794.02141353370291</v>
      </c>
      <c r="M150" s="268">
        <f t="shared" si="84"/>
        <v>1438.7345455583029</v>
      </c>
      <c r="N150">
        <f t="shared" si="85"/>
        <v>3.3899878573875383E-3</v>
      </c>
      <c r="O150">
        <f t="shared" si="86"/>
        <v>-2.5115495862408403</v>
      </c>
      <c r="Q150">
        <f t="shared" si="87"/>
        <v>-23.493182485288049</v>
      </c>
      <c r="R150">
        <f t="shared" si="88"/>
        <v>0</v>
      </c>
      <c r="S150">
        <f t="shared" si="89"/>
        <v>2.8190402963592135E-4</v>
      </c>
      <c r="T150">
        <f t="shared" si="90"/>
        <v>-0.89979864689966094</v>
      </c>
      <c r="U150">
        <f t="shared" si="91"/>
        <v>-27.83326004719828</v>
      </c>
      <c r="V150">
        <f t="shared" si="92"/>
        <v>-15.455856208361126</v>
      </c>
      <c r="W150">
        <f t="shared" si="93"/>
        <v>27.83326004719828</v>
      </c>
      <c r="Y150">
        <f t="shared" si="94"/>
        <v>-25.618072215404585</v>
      </c>
      <c r="Z150">
        <f t="shared" si="95"/>
        <v>-143.90119132942831</v>
      </c>
      <c r="AA150">
        <f t="shared" si="96"/>
        <v>-2.2151878317936919</v>
      </c>
      <c r="AB150">
        <f t="shared" si="97"/>
        <v>128.44533512106722</v>
      </c>
    </row>
    <row r="151" spans="1:28">
      <c r="A151">
        <v>113370.48381054119</v>
      </c>
      <c r="B151" s="270">
        <f t="shared" si="74"/>
        <v>113.37048381054119</v>
      </c>
      <c r="D151">
        <f t="shared" si="75"/>
        <v>0.33479404632872978</v>
      </c>
      <c r="E151">
        <f t="shared" si="76"/>
        <v>12.04200859232917</v>
      </c>
      <c r="F151">
        <f t="shared" si="77"/>
        <v>4.0340927825512143</v>
      </c>
      <c r="G151">
        <f t="shared" si="78"/>
        <v>12.04200859232917</v>
      </c>
      <c r="H151">
        <f t="shared" si="79"/>
        <v>10046.49877882203</v>
      </c>
      <c r="I151">
        <f t="shared" si="80"/>
        <v>-1.4507864867812881</v>
      </c>
      <c r="J151">
        <f t="shared" si="81"/>
        <v>80.058135296341035</v>
      </c>
      <c r="K151">
        <f t="shared" si="82"/>
        <v>-27.419298852830323</v>
      </c>
      <c r="L151">
        <f t="shared" si="83"/>
        <v>653.18855898893923</v>
      </c>
      <c r="M151" s="268">
        <f t="shared" si="84"/>
        <v>853.313176099163</v>
      </c>
      <c r="N151">
        <f t="shared" si="85"/>
        <v>8.6997838142342191E-3</v>
      </c>
      <c r="O151">
        <f t="shared" si="86"/>
        <v>-2.3682520394430182</v>
      </c>
      <c r="Q151">
        <f t="shared" si="87"/>
        <v>-23.493182485288049</v>
      </c>
      <c r="R151">
        <f t="shared" si="88"/>
        <v>0</v>
      </c>
      <c r="S151">
        <f t="shared" si="89"/>
        <v>2.6690214016705154E-4</v>
      </c>
      <c r="T151">
        <f t="shared" si="90"/>
        <v>-0.92192028991402608</v>
      </c>
      <c r="U151">
        <f t="shared" si="91"/>
        <v>-23.977649142599887</v>
      </c>
      <c r="V151">
        <f t="shared" si="92"/>
        <v>-8.5129883428856772</v>
      </c>
      <c r="W151">
        <f t="shared" si="93"/>
        <v>23.977649142599887</v>
      </c>
      <c r="Y151">
        <f t="shared" si="94"/>
        <v>-21.524969034173846</v>
      </c>
      <c r="Z151">
        <f t="shared" si="95"/>
        <v>-135.69084668333471</v>
      </c>
      <c r="AA151">
        <f t="shared" si="96"/>
        <v>-2.4526801084260441</v>
      </c>
      <c r="AB151">
        <f t="shared" si="97"/>
        <v>127.17785834044903</v>
      </c>
    </row>
    <row r="152" spans="1:28">
      <c r="A152">
        <v>118850.22274370199</v>
      </c>
      <c r="B152" s="270">
        <f t="shared" si="74"/>
        <v>118.85022274370199</v>
      </c>
      <c r="D152">
        <f t="shared" si="75"/>
        <v>0.35097624745017725</v>
      </c>
      <c r="E152">
        <f t="shared" si="76"/>
        <v>12.499328533702913</v>
      </c>
      <c r="F152">
        <f t="shared" si="77"/>
        <v>4.389467424405975</v>
      </c>
      <c r="G152">
        <f t="shared" si="78"/>
        <v>12.499328533702913</v>
      </c>
      <c r="H152">
        <f t="shared" si="79"/>
        <v>11026.903982898824</v>
      </c>
      <c r="I152">
        <f t="shared" si="80"/>
        <v>-1.4562702857474945</v>
      </c>
      <c r="J152">
        <f t="shared" si="81"/>
        <v>55.416672655596606</v>
      </c>
      <c r="K152">
        <f t="shared" si="82"/>
        <v>-28.744605003017671</v>
      </c>
      <c r="L152">
        <f t="shared" si="83"/>
        <v>602.5811217189862</v>
      </c>
      <c r="M152" s="268">
        <f t="shared" si="84"/>
        <v>566.35555575843125</v>
      </c>
      <c r="N152">
        <f t="shared" si="85"/>
        <v>1.6124443125401802E-2</v>
      </c>
      <c r="O152">
        <f t="shared" si="86"/>
        <v>-2.2106881775651352</v>
      </c>
      <c r="Q152">
        <f t="shared" si="87"/>
        <v>-23.493182485288049</v>
      </c>
      <c r="R152">
        <f t="shared" si="88"/>
        <v>0</v>
      </c>
      <c r="S152">
        <f t="shared" si="89"/>
        <v>2.5215693677417778E-4</v>
      </c>
      <c r="T152">
        <f t="shared" si="90"/>
        <v>-0.94395053809001905</v>
      </c>
      <c r="U152">
        <f t="shared" si="91"/>
        <v>-21.544697864576776</v>
      </c>
      <c r="V152">
        <f t="shared" si="92"/>
        <v>-0.74748429561091712</v>
      </c>
      <c r="W152">
        <f t="shared" si="93"/>
        <v>21.544697864576776</v>
      </c>
      <c r="Y152">
        <f t="shared" si="94"/>
        <v>-18.845206393952999</v>
      </c>
      <c r="Z152">
        <f t="shared" si="95"/>
        <v>-126.66310239394977</v>
      </c>
      <c r="AA152">
        <f t="shared" si="96"/>
        <v>-2.6994914706237765</v>
      </c>
      <c r="AB152">
        <f t="shared" si="97"/>
        <v>125.91561809833885</v>
      </c>
    </row>
    <row r="153" spans="1:28">
      <c r="A153">
        <v>124594.82372707468</v>
      </c>
      <c r="B153" s="270">
        <f t="shared" si="74"/>
        <v>124.59482372707467</v>
      </c>
      <c r="D153">
        <f t="shared" si="75"/>
        <v>0.36794061192251548</v>
      </c>
      <c r="E153">
        <f t="shared" si="76"/>
        <v>12.962726723326474</v>
      </c>
      <c r="F153">
        <f t="shared" si="77"/>
        <v>4.772013602765087</v>
      </c>
      <c r="G153">
        <f t="shared" si="78"/>
        <v>12.962726723326474</v>
      </c>
      <c r="H153">
        <f t="shared" si="79"/>
        <v>12104.375027189208</v>
      </c>
      <c r="I153">
        <f t="shared" si="80"/>
        <v>-1.4615077071259901</v>
      </c>
      <c r="J153">
        <f t="shared" si="81"/>
        <v>40.058360632734107</v>
      </c>
      <c r="K153">
        <f t="shared" si="82"/>
        <v>-30.133969552405905</v>
      </c>
      <c r="L153">
        <f t="shared" si="83"/>
        <v>581.82063506479221</v>
      </c>
      <c r="M153" s="268">
        <f t="shared" si="84"/>
        <v>375.31686448445322</v>
      </c>
      <c r="N153">
        <f t="shared" si="85"/>
        <v>2.5250167974562421E-2</v>
      </c>
      <c r="O153">
        <f t="shared" si="86"/>
        <v>-2.0344116053230876</v>
      </c>
      <c r="Q153">
        <f t="shared" si="87"/>
        <v>-23.493182485288049</v>
      </c>
      <c r="R153">
        <f t="shared" si="88"/>
        <v>0</v>
      </c>
      <c r="S153">
        <f t="shared" si="89"/>
        <v>2.3772505944267121E-4</v>
      </c>
      <c r="T153">
        <f t="shared" si="90"/>
        <v>-0.96583972102183413</v>
      </c>
      <c r="U153">
        <f t="shared" si="91"/>
        <v>-19.852861949636662</v>
      </c>
      <c r="V153">
        <f t="shared" si="92"/>
        <v>8.0982615219085687</v>
      </c>
      <c r="W153">
        <f t="shared" si="93"/>
        <v>19.852861949636662</v>
      </c>
      <c r="Y153">
        <f t="shared" si="94"/>
        <v>-16.89741092574171</v>
      </c>
      <c r="Z153">
        <f t="shared" si="95"/>
        <v>-116.56319877744748</v>
      </c>
      <c r="AA153">
        <f t="shared" si="96"/>
        <v>-2.9554510238949447</v>
      </c>
      <c r="AB153">
        <f t="shared" si="97"/>
        <v>124.66146029935605</v>
      </c>
    </row>
    <row r="154" spans="1:28">
      <c r="A154">
        <v>130617.08881318412</v>
      </c>
      <c r="B154" s="270">
        <f t="shared" si="74"/>
        <v>130.61708881318413</v>
      </c>
      <c r="D154">
        <f t="shared" si="75"/>
        <v>0.38572494544985775</v>
      </c>
      <c r="E154">
        <f t="shared" si="76"/>
        <v>13.430724484946102</v>
      </c>
      <c r="F154">
        <f t="shared" si="77"/>
        <v>5.1830654693079046</v>
      </c>
      <c r="G154">
        <f t="shared" si="78"/>
        <v>13.430724484946102</v>
      </c>
      <c r="H154">
        <f t="shared" si="79"/>
        <v>13288.521996683845</v>
      </c>
      <c r="I154">
        <f t="shared" si="80"/>
        <v>-1.466509270758263</v>
      </c>
      <c r="J154">
        <f t="shared" si="81"/>
        <v>28.641684186694977</v>
      </c>
      <c r="K154">
        <f t="shared" si="82"/>
        <v>-31.590488750497634</v>
      </c>
      <c r="L154">
        <f t="shared" si="83"/>
        <v>572.77805586764123</v>
      </c>
      <c r="M154" s="268">
        <f t="shared" si="84"/>
        <v>220.78679080739178</v>
      </c>
      <c r="N154">
        <f t="shared" si="85"/>
        <v>3.5264765160010814E-2</v>
      </c>
      <c r="O154">
        <f t="shared" si="86"/>
        <v>-1.8344243869052681</v>
      </c>
      <c r="Q154">
        <f t="shared" si="87"/>
        <v>-23.493182485288049</v>
      </c>
      <c r="R154">
        <f t="shared" si="88"/>
        <v>0</v>
      </c>
      <c r="S154">
        <f t="shared" si="89"/>
        <v>2.236581814869621E-4</v>
      </c>
      <c r="T154">
        <f t="shared" si="90"/>
        <v>-0.98754092303515451</v>
      </c>
      <c r="U154">
        <f t="shared" si="91"/>
        <v>-18.666996456941263</v>
      </c>
      <c r="V154">
        <f t="shared" si="92"/>
        <v>18.313297808086531</v>
      </c>
      <c r="W154">
        <f t="shared" si="93"/>
        <v>18.666996456941263</v>
      </c>
      <c r="Y154">
        <f t="shared" si="94"/>
        <v>-15.446643680684836</v>
      </c>
      <c r="Z154">
        <f t="shared" si="95"/>
        <v>-105.10477520554547</v>
      </c>
      <c r="AA154">
        <f t="shared" si="96"/>
        <v>-3.2203527762564264</v>
      </c>
      <c r="AB154">
        <f t="shared" si="97"/>
        <v>123.41807301363198</v>
      </c>
    </row>
    <row r="155" spans="1:28">
      <c r="A155">
        <v>136930.43883912073</v>
      </c>
      <c r="B155" s="270">
        <f t="shared" si="74"/>
        <v>136.93043883912074</v>
      </c>
      <c r="D155">
        <f t="shared" si="75"/>
        <v>0.40436888106721969</v>
      </c>
      <c r="E155">
        <f t="shared" si="76"/>
        <v>13.901639837521305</v>
      </c>
      <c r="F155">
        <f t="shared" si="77"/>
        <v>5.623890546097976</v>
      </c>
      <c r="G155">
        <f t="shared" si="78"/>
        <v>13.901639837521305</v>
      </c>
      <c r="H155">
        <f t="shared" si="79"/>
        <v>14589.90643090477</v>
      </c>
      <c r="I155">
        <f t="shared" si="80"/>
        <v>-1.4712851195798671</v>
      </c>
      <c r="J155">
        <f t="shared" si="81"/>
        <v>18.945124490546977</v>
      </c>
      <c r="K155">
        <f t="shared" si="82"/>
        <v>-33.117408503375898</v>
      </c>
      <c r="L155">
        <f t="shared" si="83"/>
        <v>566.97477270707077</v>
      </c>
      <c r="M155" s="268">
        <f t="shared" si="84"/>
        <v>76.955859635834003</v>
      </c>
      <c r="N155">
        <f t="shared" si="85"/>
        <v>4.4565308464353554E-2</v>
      </c>
      <c r="O155">
        <f t="shared" si="86"/>
        <v>-1.6061913591591281</v>
      </c>
      <c r="Q155">
        <f t="shared" si="87"/>
        <v>-23.493182485288049</v>
      </c>
      <c r="R155">
        <f t="shared" si="88"/>
        <v>0</v>
      </c>
      <c r="S155">
        <f t="shared" si="89"/>
        <v>2.1000235219691262E-4</v>
      </c>
      <c r="T155">
        <f t="shared" si="90"/>
        <v>-1.009010362990292</v>
      </c>
      <c r="U155">
        <f t="shared" si="91"/>
        <v>-17.924043550939032</v>
      </c>
      <c r="V155">
        <f t="shared" si="92"/>
        <v>30.159978745493646</v>
      </c>
      <c r="W155">
        <f t="shared" si="93"/>
        <v>17.924043550939032</v>
      </c>
      <c r="Y155">
        <f t="shared" si="94"/>
        <v>-14.430084472517105</v>
      </c>
      <c r="Z155">
        <f t="shared" si="95"/>
        <v>-92.027985970199424</v>
      </c>
      <c r="AA155">
        <f t="shared" si="96"/>
        <v>-3.4939590784219163</v>
      </c>
      <c r="AB155">
        <f t="shared" si="97"/>
        <v>122.18796471569307</v>
      </c>
    </row>
    <row r="156" spans="1:28">
      <c r="A156">
        <v>143548.94333536585</v>
      </c>
      <c r="B156" s="270">
        <f t="shared" si="74"/>
        <v>143.54894333536586</v>
      </c>
      <c r="D156">
        <f t="shared" si="75"/>
        <v>0.42391396746418508</v>
      </c>
      <c r="E156">
        <f t="shared" si="76"/>
        <v>14.373582125208202</v>
      </c>
      <c r="F156">
        <f t="shared" si="77"/>
        <v>6.0956622253693027</v>
      </c>
      <c r="G156">
        <f t="shared" si="78"/>
        <v>14.373582125208202</v>
      </c>
      <c r="H156">
        <f t="shared" si="79"/>
        <v>16020.135523460211</v>
      </c>
      <c r="I156">
        <f t="shared" si="80"/>
        <v>-1.4758450232896581</v>
      </c>
      <c r="J156">
        <f t="shared" si="81"/>
        <v>9.7393109057976979</v>
      </c>
      <c r="K156">
        <f t="shared" si="82"/>
        <v>-34.718131607324338</v>
      </c>
      <c r="L156">
        <f t="shared" si="83"/>
        <v>558.43464630529854</v>
      </c>
      <c r="M156" s="268">
        <f t="shared" si="84"/>
        <v>-71.812890508469891</v>
      </c>
      <c r="N156">
        <f t="shared" si="85"/>
        <v>5.0535693540647207E-2</v>
      </c>
      <c r="O156">
        <f t="shared" si="86"/>
        <v>-1.3479501777020839</v>
      </c>
      <c r="Q156">
        <f t="shared" si="87"/>
        <v>-23.493182485288049</v>
      </c>
      <c r="R156">
        <f t="shared" si="88"/>
        <v>0</v>
      </c>
      <c r="S156">
        <f t="shared" si="89"/>
        <v>1.9679752188333873E-4</v>
      </c>
      <c r="T156">
        <f t="shared" si="90"/>
        <v>-1.0302077056631784</v>
      </c>
      <c r="U156">
        <f t="shared" si="91"/>
        <v>-17.660075755601099</v>
      </c>
      <c r="V156">
        <f t="shared" si="92"/>
        <v>43.741590267405371</v>
      </c>
      <c r="W156">
        <f t="shared" si="93"/>
        <v>17.660075755601099</v>
      </c>
      <c r="Y156">
        <f t="shared" si="94"/>
        <v>-13.884071339061814</v>
      </c>
      <c r="Z156">
        <f t="shared" si="95"/>
        <v>-77.231856176238736</v>
      </c>
      <c r="AA156">
        <f t="shared" si="96"/>
        <v>-3.776004416539287</v>
      </c>
      <c r="AB156">
        <f t="shared" si="97"/>
        <v>120.97344644364412</v>
      </c>
    </row>
    <row r="157" spans="1:28">
      <c r="A157">
        <v>150487.35188025169</v>
      </c>
      <c r="B157" s="270">
        <f t="shared" si="74"/>
        <v>150.48735188025168</v>
      </c>
      <c r="D157">
        <f t="shared" si="75"/>
        <v>0.44440376157766998</v>
      </c>
      <c r="E157">
        <f t="shared" si="76"/>
        <v>14.844450179240926</v>
      </c>
      <c r="F157">
        <f t="shared" si="77"/>
        <v>6.5994294982069857</v>
      </c>
      <c r="G157">
        <f t="shared" si="78"/>
        <v>14.844450179240926</v>
      </c>
      <c r="H157">
        <f t="shared" si="79"/>
        <v>17591.965647904861</v>
      </c>
      <c r="I157">
        <f t="shared" si="80"/>
        <v>-1.4801983835431993</v>
      </c>
      <c r="J157">
        <f t="shared" si="81"/>
        <v>8.6990498823629234E-2</v>
      </c>
      <c r="K157">
        <f t="shared" si="82"/>
        <v>-36.396225332082416</v>
      </c>
      <c r="L157">
        <f t="shared" si="83"/>
        <v>540.8992221425616</v>
      </c>
      <c r="M157" s="268">
        <f t="shared" si="84"/>
        <v>-239.08296698010096</v>
      </c>
      <c r="N157">
        <f t="shared" si="85"/>
        <v>5.0301184267806054E-2</v>
      </c>
      <c r="O157">
        <f t="shared" si="86"/>
        <v>-1.0640086186924058</v>
      </c>
      <c r="Q157">
        <f t="shared" si="87"/>
        <v>-23.493182485288049</v>
      </c>
      <c r="R157">
        <f t="shared" si="88"/>
        <v>0</v>
      </c>
      <c r="S157">
        <f t="shared" si="89"/>
        <v>1.8407725225049498E-4</v>
      </c>
      <c r="T157">
        <f t="shared" si="90"/>
        <v>-1.0510963011161458</v>
      </c>
      <c r="U157">
        <f t="shared" si="91"/>
        <v>-17.970470982663613</v>
      </c>
      <c r="V157">
        <f t="shared" si="92"/>
        <v>58.81341486761356</v>
      </c>
      <c r="W157">
        <f t="shared" si="93"/>
        <v>17.970470982663613</v>
      </c>
      <c r="Y157">
        <f t="shared" si="94"/>
        <v>-13.904271541403956</v>
      </c>
      <c r="Z157">
        <f t="shared" si="95"/>
        <v>-60.96320321661937</v>
      </c>
      <c r="AA157">
        <f t="shared" si="96"/>
        <v>-4.0661994412596627</v>
      </c>
      <c r="AB157">
        <f t="shared" si="97"/>
        <v>119.77661808423292</v>
      </c>
    </row>
    <row r="158" spans="1:28">
      <c r="A158">
        <v>157761.1269699352</v>
      </c>
      <c r="B158" s="270">
        <f t="shared" si="74"/>
        <v>157.76112696993519</v>
      </c>
      <c r="D158">
        <f t="shared" si="75"/>
        <v>0.46588392566014725</v>
      </c>
      <c r="E158">
        <f t="shared" si="76"/>
        <v>15.311934776544959</v>
      </c>
      <c r="F158">
        <f t="shared" si="77"/>
        <v>7.1360842831488958</v>
      </c>
      <c r="G158">
        <f t="shared" si="78"/>
        <v>15.311934776544959</v>
      </c>
      <c r="H158">
        <f t="shared" si="79"/>
        <v>19319.416133265469</v>
      </c>
      <c r="I158">
        <f t="shared" si="80"/>
        <v>-1.4843542404002537</v>
      </c>
      <c r="J158">
        <f t="shared" si="81"/>
        <v>-11.044547742389426</v>
      </c>
      <c r="K158">
        <f t="shared" si="82"/>
        <v>-38.155429370636234</v>
      </c>
      <c r="L158">
        <f t="shared" si="83"/>
        <v>505.46180315933435</v>
      </c>
      <c r="M158" s="268">
        <f t="shared" si="84"/>
        <v>-441.58242335657991</v>
      </c>
      <c r="N158">
        <f t="shared" si="85"/>
        <v>4.288565538987868E-2</v>
      </c>
      <c r="O158">
        <f t="shared" si="86"/>
        <v>-0.76630537780818031</v>
      </c>
      <c r="Q158">
        <f t="shared" si="87"/>
        <v>-23.493182485288049</v>
      </c>
      <c r="R158">
        <f t="shared" si="88"/>
        <v>0</v>
      </c>
      <c r="S158">
        <f t="shared" si="89"/>
        <v>1.7186860631015051E-4</v>
      </c>
      <c r="T158">
        <f t="shared" si="90"/>
        <v>-1.0716433512564827</v>
      </c>
      <c r="U158">
        <f t="shared" si="91"/>
        <v>-18.961168244611798</v>
      </c>
      <c r="V158">
        <f t="shared" si="92"/>
        <v>74.693294863161185</v>
      </c>
      <c r="W158">
        <f t="shared" si="93"/>
        <v>18.961168244611798</v>
      </c>
      <c r="Y158">
        <f t="shared" si="94"/>
        <v>-14.596933126779867</v>
      </c>
      <c r="Z158">
        <f t="shared" si="95"/>
        <v>-43.90606396658675</v>
      </c>
      <c r="AA158">
        <f t="shared" si="96"/>
        <v>-4.3642351178319316</v>
      </c>
      <c r="AB158">
        <f t="shared" si="97"/>
        <v>118.59935882974793</v>
      </c>
    </row>
    <row r="159" spans="1:28">
      <c r="A159">
        <v>165386.47847713323</v>
      </c>
      <c r="B159" s="270">
        <f t="shared" si="74"/>
        <v>165.38647847713324</v>
      </c>
      <c r="D159">
        <f t="shared" si="75"/>
        <v>0.48840232903963732</v>
      </c>
      <c r="E159">
        <f t="shared" si="76"/>
        <v>15.773526155487001</v>
      </c>
      <c r="F159">
        <f t="shared" si="77"/>
        <v>7.7063269115074879</v>
      </c>
      <c r="G159">
        <f t="shared" si="78"/>
        <v>15.773526155487001</v>
      </c>
      <c r="H159">
        <f t="shared" si="79"/>
        <v>21217.894304007346</v>
      </c>
      <c r="I159">
        <f t="shared" si="80"/>
        <v>-1.4883212797903254</v>
      </c>
      <c r="J159">
        <f t="shared" si="81"/>
        <v>-25.258303738608568</v>
      </c>
      <c r="K159">
        <f t="shared" si="82"/>
        <v>-39.999664173260435</v>
      </c>
      <c r="L159">
        <f t="shared" si="83"/>
        <v>436.33018403178755</v>
      </c>
      <c r="M159" s="268">
        <f t="shared" si="84"/>
        <v>-706.86079124335777</v>
      </c>
      <c r="N159">
        <f t="shared" si="85"/>
        <v>3.0748957905994762E-2</v>
      </c>
      <c r="O159">
        <f t="shared" si="86"/>
        <v>-0.47055267073566154</v>
      </c>
      <c r="Q159">
        <f t="shared" si="87"/>
        <v>-23.493182485288049</v>
      </c>
      <c r="R159">
        <f t="shared" si="88"/>
        <v>0</v>
      </c>
      <c r="S159">
        <f t="shared" si="89"/>
        <v>1.601922045914045E-4</v>
      </c>
      <c r="T159">
        <f t="shared" si="90"/>
        <v>-1.0918200053397045</v>
      </c>
      <c r="U159">
        <f t="shared" si="91"/>
        <v>-20.711536509885306</v>
      </c>
      <c r="V159">
        <f t="shared" si="92"/>
        <v>90.482639634321444</v>
      </c>
      <c r="W159">
        <f t="shared" si="93"/>
        <v>20.711536509885306</v>
      </c>
      <c r="Y159">
        <f t="shared" si="94"/>
        <v>-16.041749621911311</v>
      </c>
      <c r="Z159">
        <f t="shared" si="95"/>
        <v>-26.960682071762488</v>
      </c>
      <c r="AA159">
        <f t="shared" si="96"/>
        <v>-4.6697868879739914</v>
      </c>
      <c r="AB159">
        <f t="shared" si="97"/>
        <v>117.44332170608394</v>
      </c>
    </row>
    <row r="160" spans="1:28">
      <c r="A160">
        <v>173380.39977541423</v>
      </c>
      <c r="B160" s="270">
        <f t="shared" si="74"/>
        <v>173.38039977541422</v>
      </c>
      <c r="D160">
        <f t="shared" si="75"/>
        <v>0.5120091547982486</v>
      </c>
      <c r="E160">
        <f t="shared" si="76"/>
        <v>16.226527301775601</v>
      </c>
      <c r="F160">
        <f t="shared" si="77"/>
        <v>8.3106305290928297</v>
      </c>
      <c r="G160">
        <f t="shared" si="78"/>
        <v>16.226527301775601</v>
      </c>
      <c r="H160">
        <f t="shared" si="79"/>
        <v>23304.332899687823</v>
      </c>
      <c r="I160">
        <f t="shared" si="80"/>
        <v>-1.4921078417907863</v>
      </c>
      <c r="J160">
        <f t="shared" si="81"/>
        <v>-45.867280141969033</v>
      </c>
      <c r="K160">
        <f t="shared" si="82"/>
        <v>-41.933039684384362</v>
      </c>
      <c r="L160">
        <f t="shared" si="83"/>
        <v>299.28477547483863</v>
      </c>
      <c r="M160" s="268">
        <f t="shared" si="84"/>
        <v>-1092.9640214175245</v>
      </c>
      <c r="N160">
        <f t="shared" si="85"/>
        <v>1.81477888105454E-2</v>
      </c>
      <c r="O160">
        <f t="shared" si="86"/>
        <v>-0.18858833128431884</v>
      </c>
      <c r="Q160">
        <f t="shared" si="87"/>
        <v>-23.493182485288049</v>
      </c>
      <c r="R160">
        <f t="shared" si="88"/>
        <v>0</v>
      </c>
      <c r="S160">
        <f t="shared" si="89"/>
        <v>1.4906242856663342E-4</v>
      </c>
      <c r="T160">
        <f t="shared" si="90"/>
        <v>-1.1116013883856457</v>
      </c>
      <c r="U160">
        <f t="shared" si="91"/>
        <v>-23.314335219491994</v>
      </c>
      <c r="V160">
        <f t="shared" si="92"/>
        <v>105.50461649661339</v>
      </c>
      <c r="W160">
        <f t="shared" si="93"/>
        <v>23.314335219491994</v>
      </c>
      <c r="Y160">
        <f t="shared" si="94"/>
        <v>-18.331816474935245</v>
      </c>
      <c r="Z160">
        <f t="shared" si="95"/>
        <v>-10.805315448006457</v>
      </c>
      <c r="AA160">
        <f t="shared" si="96"/>
        <v>-4.9825187445567494</v>
      </c>
      <c r="AB160">
        <f t="shared" si="97"/>
        <v>116.30993194461985</v>
      </c>
    </row>
    <row r="161" spans="1:28">
      <c r="A161">
        <v>181760.70560955012</v>
      </c>
      <c r="B161" s="270">
        <f t="shared" si="74"/>
        <v>181.76070560955012</v>
      </c>
      <c r="D161">
        <f t="shared" si="75"/>
        <v>0.53675701160700406</v>
      </c>
      <c r="E161">
        <f t="shared" si="76"/>
        <v>16.66807361830908</v>
      </c>
      <c r="F161">
        <f t="shared" si="77"/>
        <v>8.9492053846091242</v>
      </c>
      <c r="G161">
        <f t="shared" si="78"/>
        <v>16.66807361830908</v>
      </c>
      <c r="H161">
        <f t="shared" si="79"/>
        <v>25597.341099957972</v>
      </c>
      <c r="I161">
        <f t="shared" si="80"/>
        <v>-1.4957219295394519</v>
      </c>
      <c r="J161">
        <f t="shared" si="81"/>
        <v>-82.11637428688033</v>
      </c>
      <c r="K161">
        <f t="shared" si="82"/>
        <v>-43.959864501752953</v>
      </c>
      <c r="L161">
        <f t="shared" si="83"/>
        <v>-2.1068603425801422</v>
      </c>
      <c r="M161" s="268">
        <f t="shared" si="84"/>
        <v>-1762.3449982754539</v>
      </c>
      <c r="N161">
        <f t="shared" si="85"/>
        <v>8.241615977174788E-3</v>
      </c>
      <c r="O161">
        <f t="shared" si="86"/>
        <v>7.6269883576762121E-2</v>
      </c>
      <c r="Q161">
        <f t="shared" si="87"/>
        <v>-23.493182485288049</v>
      </c>
      <c r="R161">
        <f t="shared" si="88"/>
        <v>0</v>
      </c>
      <c r="S161">
        <f t="shared" si="89"/>
        <v>1.3848774819050685E-4</v>
      </c>
      <c r="T161">
        <f t="shared" si="90"/>
        <v>-1.1309665682577874</v>
      </c>
      <c r="U161">
        <f t="shared" si="91"/>
        <v>-27.062017030405798</v>
      </c>
      <c r="V161">
        <f t="shared" si="92"/>
        <v>119.57033130133706</v>
      </c>
      <c r="W161">
        <f t="shared" si="93"/>
        <v>27.062017030405798</v>
      </c>
      <c r="Y161">
        <f t="shared" si="94"/>
        <v>-21.759929896855603</v>
      </c>
      <c r="Z161">
        <f t="shared" si="95"/>
        <v>4.3699424329026213</v>
      </c>
      <c r="AA161">
        <f t="shared" si="96"/>
        <v>-5.3020871335501951</v>
      </c>
      <c r="AB161">
        <f t="shared" si="97"/>
        <v>115.20038886843444</v>
      </c>
    </row>
    <row r="162" spans="1:28">
      <c r="A162">
        <v>190546.07179632492</v>
      </c>
      <c r="B162" s="270">
        <f t="shared" si="74"/>
        <v>190.54607179632492</v>
      </c>
      <c r="D162">
        <f t="shared" si="75"/>
        <v>0.56270105096618395</v>
      </c>
      <c r="E162">
        <f t="shared" si="76"/>
        <v>17.095159434653205</v>
      </c>
      <c r="F162">
        <f t="shared" si="77"/>
        <v>9.6219641803138334</v>
      </c>
      <c r="G162">
        <f t="shared" si="78"/>
        <v>17.095159434653205</v>
      </c>
      <c r="H162">
        <f t="shared" si="79"/>
        <v>28117.370501921599</v>
      </c>
      <c r="I162">
        <f t="shared" si="80"/>
        <v>-1.4991712186278054</v>
      </c>
      <c r="J162">
        <f t="shared" si="81"/>
        <v>-176.23237973876303</v>
      </c>
      <c r="K162">
        <f t="shared" si="82"/>
        <v>-46.084655478293982</v>
      </c>
      <c r="L162">
        <f t="shared" si="83"/>
        <v>-907.83393154130613</v>
      </c>
      <c r="M162" s="268">
        <f t="shared" si="84"/>
        <v>-3456.373410292053</v>
      </c>
      <c r="N162">
        <f t="shared" si="85"/>
        <v>2.2017129382005864E-3</v>
      </c>
      <c r="O162">
        <f t="shared" si="86"/>
        <v>0.32847848806683944</v>
      </c>
      <c r="Q162">
        <f t="shared" si="87"/>
        <v>-23.493182485288049</v>
      </c>
      <c r="R162">
        <f t="shared" si="88"/>
        <v>0</v>
      </c>
      <c r="S162">
        <f t="shared" si="89"/>
        <v>1.2847114824091581E-4</v>
      </c>
      <c r="T162">
        <f t="shared" si="90"/>
        <v>-1.14989846846973</v>
      </c>
      <c r="U162">
        <f t="shared" si="91"/>
        <v>-33.120591309258174</v>
      </c>
      <c r="V162">
        <f t="shared" si="92"/>
        <v>132.93610191519559</v>
      </c>
      <c r="W162">
        <f t="shared" si="93"/>
        <v>33.120591309258174</v>
      </c>
      <c r="Y162">
        <f t="shared" si="94"/>
        <v>-27.492446696193376</v>
      </c>
      <c r="Z162">
        <f t="shared" si="95"/>
        <v>18.820431027068274</v>
      </c>
      <c r="AA162">
        <f t="shared" si="96"/>
        <v>-5.6281446130647979</v>
      </c>
      <c r="AB162">
        <f t="shared" si="97"/>
        <v>114.11567088812731</v>
      </c>
    </row>
    <row r="163" spans="1:28">
      <c r="A163">
        <v>199756.07684427066</v>
      </c>
      <c r="B163" s="270">
        <f t="shared" si="74"/>
        <v>199.75607684427067</v>
      </c>
      <c r="D163">
        <f t="shared" si="75"/>
        <v>0.58989909011244623</v>
      </c>
      <c r="E163">
        <f t="shared" si="76"/>
        <v>17.504671590900251</v>
      </c>
      <c r="F163">
        <f t="shared" si="77"/>
        <v>10.328489844189244</v>
      </c>
      <c r="G163">
        <f t="shared" si="78"/>
        <v>17.504671590900251</v>
      </c>
      <c r="H163">
        <f t="shared" si="79"/>
        <v>30886.897530221173</v>
      </c>
      <c r="I163">
        <f t="shared" si="80"/>
        <v>-1.5024630668426331</v>
      </c>
      <c r="J163">
        <f t="shared" si="81"/>
        <v>-2035.9439691557363</v>
      </c>
      <c r="K163">
        <f t="shared" si="82"/>
        <v>-48.312147788088815</v>
      </c>
      <c r="L163">
        <f t="shared" si="83"/>
        <v>-20182.495147057794</v>
      </c>
      <c r="M163" s="268">
        <f t="shared" si="84"/>
        <v>-36137.760976540456</v>
      </c>
      <c r="N163">
        <f t="shared" si="85"/>
        <v>1.8028029258631594E-5</v>
      </c>
      <c r="O163">
        <f t="shared" si="86"/>
        <v>0.57766957883963888</v>
      </c>
      <c r="Q163">
        <f t="shared" si="87"/>
        <v>-23.493182485288049</v>
      </c>
      <c r="R163">
        <f t="shared" si="88"/>
        <v>0</v>
      </c>
      <c r="S163">
        <f t="shared" si="89"/>
        <v>1.1901062761505167E-4</v>
      </c>
      <c r="T163">
        <f t="shared" si="90"/>
        <v>-1.1683837346248525</v>
      </c>
      <c r="U163">
        <f t="shared" si="91"/>
        <v>-54.320914314631167</v>
      </c>
      <c r="V163">
        <f t="shared" si="92"/>
        <v>146.15457197487385</v>
      </c>
      <c r="W163">
        <f t="shared" si="93"/>
        <v>54.320914314631167</v>
      </c>
      <c r="Y163">
        <f t="shared" si="94"/>
        <v>-48.360571099062646</v>
      </c>
      <c r="Z163">
        <f t="shared" si="95"/>
        <v>33.098028820611077</v>
      </c>
      <c r="AA163">
        <f t="shared" si="96"/>
        <v>-5.9603432155685212</v>
      </c>
      <c r="AB163">
        <f t="shared" si="97"/>
        <v>113.05654315426277</v>
      </c>
    </row>
    <row r="164" spans="1:28">
      <c r="A164">
        <v>209411.24558508955</v>
      </c>
      <c r="B164" s="270">
        <f t="shared" si="74"/>
        <v>209.41124558508955</v>
      </c>
      <c r="D164">
        <f t="shared" si="75"/>
        <v>0.61841174086665296</v>
      </c>
      <c r="E164">
        <f t="shared" si="76"/>
        <v>17.893430047584953</v>
      </c>
      <c r="F164">
        <f t="shared" si="77"/>
        <v>11.068007225802686</v>
      </c>
      <c r="G164">
        <f t="shared" si="78"/>
        <v>17.893430047584953</v>
      </c>
      <c r="H164">
        <f t="shared" si="79"/>
        <v>33930.623906788816</v>
      </c>
      <c r="I164">
        <f t="shared" si="80"/>
        <v>-1.5056045241429072</v>
      </c>
      <c r="J164">
        <f t="shared" si="81"/>
        <v>228.46101834011168</v>
      </c>
      <c r="K164">
        <f t="shared" si="82"/>
        <v>-50.647305478881023</v>
      </c>
      <c r="L164">
        <f t="shared" si="83"/>
        <v>3434.9054003116576</v>
      </c>
      <c r="M164" s="268">
        <f t="shared" si="84"/>
        <v>3527.13606928845</v>
      </c>
      <c r="N164">
        <f t="shared" si="85"/>
        <v>1.399820719072561E-3</v>
      </c>
      <c r="O164">
        <f t="shared" si="86"/>
        <v>-2.3042495598045694</v>
      </c>
      <c r="Q164">
        <f t="shared" si="87"/>
        <v>-23.493182485288049</v>
      </c>
      <c r="R164">
        <f t="shared" si="88"/>
        <v>0</v>
      </c>
      <c r="S164">
        <f t="shared" si="89"/>
        <v>1.1009974662113123E-4</v>
      </c>
      <c r="T164">
        <f t="shared" si="90"/>
        <v>-1.186412562794803</v>
      </c>
      <c r="U164">
        <f t="shared" si="91"/>
        <v>-35.757666943744596</v>
      </c>
      <c r="V164">
        <f t="shared" si="92"/>
        <v>-20.000207331121572</v>
      </c>
      <c r="W164">
        <f t="shared" si="93"/>
        <v>35.757666943744596</v>
      </c>
      <c r="Y164">
        <f t="shared" si="94"/>
        <v>-29.459329468262389</v>
      </c>
      <c r="Z164">
        <f t="shared" si="95"/>
        <v>-132.02377472167962</v>
      </c>
      <c r="AA164">
        <f t="shared" si="96"/>
        <v>-6.2983374754822066</v>
      </c>
      <c r="AB164">
        <f t="shared" si="97"/>
        <v>112.02356739055803</v>
      </c>
    </row>
    <row r="165" spans="1:28">
      <c r="A165">
        <v>219533.09491398532</v>
      </c>
      <c r="B165" s="270">
        <f t="shared" si="74"/>
        <v>219.53309491398531</v>
      </c>
      <c r="D165">
        <f t="shared" si="75"/>
        <v>0.64830254470951054</v>
      </c>
      <c r="E165">
        <f t="shared" si="76"/>
        <v>18.258235134695845</v>
      </c>
      <c r="F165">
        <f t="shared" si="77"/>
        <v>11.839360299727909</v>
      </c>
      <c r="G165">
        <f t="shared" si="78"/>
        <v>18.258235134695845</v>
      </c>
      <c r="H165">
        <f t="shared" si="79"/>
        <v>37275.696968271346</v>
      </c>
      <c r="I165">
        <f t="shared" si="80"/>
        <v>-1.5086023427755346</v>
      </c>
      <c r="J165">
        <f t="shared" si="81"/>
        <v>100.08898166870621</v>
      </c>
      <c r="K165">
        <f t="shared" si="82"/>
        <v>-53.095332534636675</v>
      </c>
      <c r="L165">
        <f t="shared" si="83"/>
        <v>2154.4597628049751</v>
      </c>
      <c r="M165" s="268">
        <f t="shared" si="84"/>
        <v>1198.570846747687</v>
      </c>
      <c r="N165">
        <f t="shared" si="85"/>
        <v>6.1326172484886783E-3</v>
      </c>
      <c r="O165">
        <f t="shared" si="86"/>
        <v>-2.016285443536812</v>
      </c>
      <c r="Q165">
        <f t="shared" si="87"/>
        <v>-23.493182485288049</v>
      </c>
      <c r="R165">
        <f t="shared" si="88"/>
        <v>0</v>
      </c>
      <c r="S165">
        <f t="shared" si="89"/>
        <v>1.0172819930443735E-4</v>
      </c>
      <c r="T165">
        <f t="shared" si="90"/>
        <v>-1.2039784981514123</v>
      </c>
      <c r="U165">
        <f t="shared" si="91"/>
        <v>-29.685382139385041</v>
      </c>
      <c r="V165">
        <f t="shared" si="92"/>
        <v>-4.5075327768979037</v>
      </c>
      <c r="W165">
        <f t="shared" si="93"/>
        <v>29.685382139385041</v>
      </c>
      <c r="Y165">
        <f t="shared" si="94"/>
        <v>-23.043595039832773</v>
      </c>
      <c r="Z165">
        <f t="shared" si="95"/>
        <v>-115.52464620832258</v>
      </c>
      <c r="AA165">
        <f t="shared" si="96"/>
        <v>-6.6417870995522676</v>
      </c>
      <c r="AB165">
        <f t="shared" si="97"/>
        <v>111.01711343142469</v>
      </c>
    </row>
    <row r="166" spans="1:28">
      <c r="A166">
        <v>230144.18174085123</v>
      </c>
      <c r="B166" s="270">
        <f t="shared" si="74"/>
        <v>230.14418174085122</v>
      </c>
      <c r="D166">
        <f t="shared" si="75"/>
        <v>0.67963811438608279</v>
      </c>
      <c r="E166">
        <f t="shared" si="76"/>
        <v>18.595920672106686</v>
      </c>
      <c r="F166">
        <f t="shared" si="77"/>
        <v>12.640996460863764</v>
      </c>
      <c r="G166">
        <f t="shared" si="78"/>
        <v>18.595920672106686</v>
      </c>
      <c r="H166">
        <f t="shared" si="79"/>
        <v>40951.951796169051</v>
      </c>
      <c r="I166">
        <f t="shared" si="80"/>
        <v>-1.5114629874483403</v>
      </c>
      <c r="J166">
        <f t="shared" si="81"/>
        <v>53.261212103553767</v>
      </c>
      <c r="K166">
        <f t="shared" si="82"/>
        <v>-55.661684472812979</v>
      </c>
      <c r="L166">
        <f t="shared" si="83"/>
        <v>1708.3982434586374</v>
      </c>
      <c r="M166" s="268">
        <f t="shared" si="84"/>
        <v>286.54688595700986</v>
      </c>
      <c r="N166">
        <f t="shared" si="85"/>
        <v>1.3647313029570828E-2</v>
      </c>
      <c r="O166">
        <f t="shared" si="86"/>
        <v>-1.677644514265809</v>
      </c>
      <c r="Q166">
        <f t="shared" si="87"/>
        <v>-23.493182485288049</v>
      </c>
      <c r="R166">
        <f t="shared" si="88"/>
        <v>0</v>
      </c>
      <c r="S166">
        <f t="shared" si="89"/>
        <v>9.3882390622315384E-5</v>
      </c>
      <c r="T166">
        <f t="shared" si="90"/>
        <v>-1.2210782118519155</v>
      </c>
      <c r="U166">
        <f t="shared" si="91"/>
        <v>-26.559941381390203</v>
      </c>
      <c r="V166">
        <f t="shared" si="92"/>
        <v>13.915421814797952</v>
      </c>
      <c r="W166">
        <f t="shared" si="93"/>
        <v>26.559941381390203</v>
      </c>
      <c r="Y166">
        <f t="shared" si="94"/>
        <v>-19.569582110319562</v>
      </c>
      <c r="Z166">
        <f t="shared" si="95"/>
        <v>-96.121950190705888</v>
      </c>
      <c r="AA166">
        <f t="shared" si="96"/>
        <v>-6.9903592710706377</v>
      </c>
      <c r="AB166">
        <f t="shared" si="97"/>
        <v>110.03737200550383</v>
      </c>
    </row>
    <row r="167" spans="1:28">
      <c r="A167">
        <v>241268.15325916381</v>
      </c>
      <c r="B167" s="270">
        <f t="shared" si="74"/>
        <v>241.2681532591638</v>
      </c>
      <c r="D167">
        <f t="shared" si="75"/>
        <v>0.7124882823547154</v>
      </c>
      <c r="E167">
        <f t="shared" si="76"/>
        <v>18.903411791675744</v>
      </c>
      <c r="F167">
        <f t="shared" si="77"/>
        <v>13.470959398094923</v>
      </c>
      <c r="G167">
        <f t="shared" si="78"/>
        <v>18.903411791675744</v>
      </c>
      <c r="H167">
        <f t="shared" si="79"/>
        <v>44992.177319270639</v>
      </c>
      <c r="I167">
        <f t="shared" si="80"/>
        <v>-1.5141926454915509</v>
      </c>
      <c r="J167">
        <f t="shared" si="81"/>
        <v>22.854540874202659</v>
      </c>
      <c r="K167">
        <f t="shared" si="82"/>
        <v>-58.352080502177238</v>
      </c>
      <c r="L167">
        <f t="shared" si="83"/>
        <v>1410.9691796361917</v>
      </c>
      <c r="M167" s="268">
        <f t="shared" si="84"/>
        <v>-354.31824589914123</v>
      </c>
      <c r="N167">
        <f t="shared" si="85"/>
        <v>2.1259071692611462E-2</v>
      </c>
      <c r="O167">
        <f t="shared" si="86"/>
        <v>-1.2681630325911466</v>
      </c>
      <c r="Q167">
        <f t="shared" si="87"/>
        <v>-23.493182485288049</v>
      </c>
      <c r="R167">
        <f t="shared" si="88"/>
        <v>0</v>
      </c>
      <c r="S167">
        <f t="shared" si="89"/>
        <v>8.6546001516476555E-5</v>
      </c>
      <c r="T167">
        <f t="shared" si="90"/>
        <v>-1.2377112636122778</v>
      </c>
      <c r="U167">
        <f t="shared" si="91"/>
        <v>-24.988341267023557</v>
      </c>
      <c r="V167">
        <f t="shared" si="92"/>
        <v>36.423978837228248</v>
      </c>
      <c r="W167">
        <f t="shared" si="93"/>
        <v>24.988341267023557</v>
      </c>
      <c r="Y167">
        <f t="shared" si="94"/>
        <v>-17.644610676255773</v>
      </c>
      <c r="Z167">
        <f t="shared" si="95"/>
        <v>-72.66038950198417</v>
      </c>
      <c r="AA167">
        <f t="shared" si="96"/>
        <v>-7.3437305907677839</v>
      </c>
      <c r="AB167">
        <f t="shared" si="97"/>
        <v>109.08436833921242</v>
      </c>
    </row>
    <row r="168" spans="1:28">
      <c r="A168">
        <v>252929.79964461498</v>
      </c>
      <c r="B168" s="270">
        <f t="shared" si="74"/>
        <v>252.92979964461497</v>
      </c>
      <c r="D168">
        <f t="shared" si="75"/>
        <v>0.74692625641121302</v>
      </c>
      <c r="E168">
        <f t="shared" si="76"/>
        <v>19.177785895242131</v>
      </c>
      <c r="F168">
        <f t="shared" si="77"/>
        <v>14.326891824988968</v>
      </c>
      <c r="G168">
        <f t="shared" si="78"/>
        <v>19.177785895242131</v>
      </c>
      <c r="H168">
        <f t="shared" si="79"/>
        <v>49432.408761783605</v>
      </c>
      <c r="I168">
        <f t="shared" si="80"/>
        <v>-1.5167972369503191</v>
      </c>
      <c r="J168">
        <f t="shared" si="81"/>
        <v>-4.9101230128536599</v>
      </c>
      <c r="K168">
        <f t="shared" si="82"/>
        <v>-61.17251626827197</v>
      </c>
      <c r="L168">
        <f t="shared" si="83"/>
        <v>1102.8497992376299</v>
      </c>
      <c r="M168" s="268">
        <f t="shared" si="84"/>
        <v>-970.87979354594597</v>
      </c>
      <c r="N168">
        <f t="shared" si="85"/>
        <v>2.289719135773572E-2</v>
      </c>
      <c r="O168">
        <f t="shared" si="86"/>
        <v>-0.79495233619396832</v>
      </c>
      <c r="Q168">
        <f t="shared" si="87"/>
        <v>-23.493182485288049</v>
      </c>
      <c r="R168">
        <f t="shared" si="88"/>
        <v>0</v>
      </c>
      <c r="S168">
        <f t="shared" si="89"/>
        <v>7.9700528339523674E-5</v>
      </c>
      <c r="T168">
        <f t="shared" si="90"/>
        <v>-1.2538798566616878</v>
      </c>
      <c r="U168">
        <f t="shared" si="91"/>
        <v>-25.023820171643578</v>
      </c>
      <c r="V168">
        <f t="shared" si="92"/>
        <v>62.610562418837375</v>
      </c>
      <c r="W168">
        <f t="shared" si="93"/>
        <v>25.023820171643578</v>
      </c>
      <c r="Y168">
        <f t="shared" si="94"/>
        <v>-17.322231504795667</v>
      </c>
      <c r="Z168">
        <f t="shared" si="95"/>
        <v>-45.547413777979301</v>
      </c>
      <c r="AA168">
        <f t="shared" si="96"/>
        <v>-7.7015886668479183</v>
      </c>
      <c r="AB168">
        <f t="shared" si="97"/>
        <v>108.15797619681668</v>
      </c>
    </row>
    <row r="169" spans="1:28">
      <c r="A169">
        <v>265155.10930092155</v>
      </c>
      <c r="B169" s="270">
        <f t="shared" si="74"/>
        <v>265.15510930092154</v>
      </c>
      <c r="D169">
        <f t="shared" si="75"/>
        <v>0.78302878283507926</v>
      </c>
      <c r="E169">
        <f t="shared" si="76"/>
        <v>19.416334825294971</v>
      </c>
      <c r="F169">
        <f t="shared" si="77"/>
        <v>15.206049025369081</v>
      </c>
      <c r="G169">
        <f t="shared" si="78"/>
        <v>19.416334825294971</v>
      </c>
      <c r="H169">
        <f t="shared" si="79"/>
        <v>54312.249045537224</v>
      </c>
      <c r="I169">
        <f t="shared" si="80"/>
        <v>-1.5192824245606282</v>
      </c>
      <c r="J169">
        <f t="shared" si="81"/>
        <v>-38.6675621965381</v>
      </c>
      <c r="K169">
        <f t="shared" si="82"/>
        <v>-64.12927721492936</v>
      </c>
      <c r="L169">
        <f t="shared" si="83"/>
        <v>657.21785288119884</v>
      </c>
      <c r="M169" s="268">
        <f t="shared" si="84"/>
        <v>-1726.2523706525262</v>
      </c>
      <c r="N169">
        <f t="shared" si="85"/>
        <v>1.5918557628116631E-2</v>
      </c>
      <c r="O169">
        <f t="shared" si="86"/>
        <v>-0.31226162740575236</v>
      </c>
      <c r="Q169">
        <f t="shared" si="87"/>
        <v>-23.493182485288049</v>
      </c>
      <c r="R169">
        <f t="shared" si="88"/>
        <v>0</v>
      </c>
      <c r="S169">
        <f t="shared" si="89"/>
        <v>7.332578644526558E-5</v>
      </c>
      <c r="T169">
        <f t="shared" si="90"/>
        <v>-1.2695885909211784</v>
      </c>
      <c r="U169">
        <f t="shared" si="91"/>
        <v>-26.964649875616047</v>
      </c>
      <c r="V169">
        <f t="shared" si="92"/>
        <v>89.366658668019042</v>
      </c>
      <c r="W169">
        <f t="shared" si="93"/>
        <v>26.964649875616047</v>
      </c>
      <c r="Y169">
        <f t="shared" si="94"/>
        <v>-18.901016501484101</v>
      </c>
      <c r="Z169">
        <f t="shared" si="95"/>
        <v>-17.891273354236251</v>
      </c>
      <c r="AA169">
        <f t="shared" si="96"/>
        <v>-8.0636333741319461</v>
      </c>
      <c r="AB169">
        <f t="shared" si="97"/>
        <v>107.25793202225529</v>
      </c>
    </row>
    <row r="170" spans="1:28">
      <c r="A170">
        <v>277971.32677592902</v>
      </c>
      <c r="B170" s="270">
        <f t="shared" si="74"/>
        <v>277.97132677592901</v>
      </c>
      <c r="D170">
        <f t="shared" si="75"/>
        <v>0.82087631742139444</v>
      </c>
      <c r="E170">
        <f t="shared" si="76"/>
        <v>19.616626041098126</v>
      </c>
      <c r="F170">
        <f t="shared" si="77"/>
        <v>16.105323744849258</v>
      </c>
      <c r="G170">
        <f t="shared" si="78"/>
        <v>19.616626041098126</v>
      </c>
      <c r="H170">
        <f t="shared" si="79"/>
        <v>59675.222012880309</v>
      </c>
      <c r="I170">
        <f t="shared" si="80"/>
        <v>-1.5216536235694345</v>
      </c>
      <c r="J170">
        <f t="shared" si="81"/>
        <v>-95.966560416211166</v>
      </c>
      <c r="K170">
        <f t="shared" si="82"/>
        <v>-67.228952591611687</v>
      </c>
      <c r="L170">
        <f t="shared" si="83"/>
        <v>-226.7241212343182</v>
      </c>
      <c r="M170" s="268">
        <f t="shared" si="84"/>
        <v>-2965.6166046272206</v>
      </c>
      <c r="N170">
        <f t="shared" si="85"/>
        <v>6.74579413554689E-3</v>
      </c>
      <c r="O170">
        <f t="shared" si="86"/>
        <v>0.1254451992065424</v>
      </c>
      <c r="Q170">
        <f t="shared" si="87"/>
        <v>-23.493182485288049</v>
      </c>
      <c r="R170">
        <f t="shared" si="88"/>
        <v>0</v>
      </c>
      <c r="S170">
        <f t="shared" si="89"/>
        <v>6.7400370876054977E-5</v>
      </c>
      <c r="T170">
        <f t="shared" si="90"/>
        <v>-1.2848442193505558</v>
      </c>
      <c r="U170">
        <f t="shared" si="91"/>
        <v>-31.059300614223631</v>
      </c>
      <c r="V170">
        <f t="shared" si="92"/>
        <v>113.57132937414492</v>
      </c>
      <c r="W170">
        <f t="shared" si="93"/>
        <v>31.059300614223631</v>
      </c>
      <c r="Y170">
        <f t="shared" si="94"/>
        <v>-22.62972280650882</v>
      </c>
      <c r="Z170">
        <f t="shared" si="95"/>
        <v>7.1874804747127428</v>
      </c>
      <c r="AA170">
        <f t="shared" si="96"/>
        <v>-8.4295778077148142</v>
      </c>
      <c r="AB170">
        <f t="shared" si="97"/>
        <v>106.38384889943218</v>
      </c>
    </row>
    <row r="171" spans="1:28">
      <c r="A171">
        <v>291407.01347708073</v>
      </c>
      <c r="B171" s="270">
        <f t="shared" si="74"/>
        <v>291.40701347708074</v>
      </c>
      <c r="D171">
        <f t="shared" si="75"/>
        <v>0.86055320477949038</v>
      </c>
      <c r="E171">
        <f t="shared" si="76"/>
        <v>19.776560416147198</v>
      </c>
      <c r="F171">
        <f t="shared" si="77"/>
        <v>17.021282445630685</v>
      </c>
      <c r="G171">
        <f t="shared" si="78"/>
        <v>19.776560416147198</v>
      </c>
      <c r="H171">
        <f t="shared" si="79"/>
        <v>65569.160620709328</v>
      </c>
      <c r="I171">
        <f t="shared" si="80"/>
        <v>-1.5239160113672678</v>
      </c>
      <c r="J171">
        <f t="shared" si="81"/>
        <v>-284.61069104036847</v>
      </c>
      <c r="K171">
        <f t="shared" si="82"/>
        <v>-70.478450137794198</v>
      </c>
      <c r="L171">
        <f t="shared" si="83"/>
        <v>-3450.5744512337001</v>
      </c>
      <c r="M171" s="268">
        <f t="shared" si="84"/>
        <v>-6828.6026304781863</v>
      </c>
      <c r="N171">
        <f t="shared" si="85"/>
        <v>1.1201457103374723E-3</v>
      </c>
      <c r="O171">
        <f t="shared" si="86"/>
        <v>0.51476844180515435</v>
      </c>
      <c r="Q171">
        <f t="shared" si="87"/>
        <v>-23.493182485288049</v>
      </c>
      <c r="R171">
        <f t="shared" si="88"/>
        <v>0</v>
      </c>
      <c r="S171">
        <f t="shared" si="89"/>
        <v>6.1902069858724441E-5</v>
      </c>
      <c r="T171">
        <f t="shared" si="90"/>
        <v>-1.2996554115095005</v>
      </c>
      <c r="U171">
        <f t="shared" si="91"/>
        <v>-39.226457400940987</v>
      </c>
      <c r="V171">
        <f t="shared" si="92"/>
        <v>135.02928924112845</v>
      </c>
      <c r="W171">
        <f t="shared" si="93"/>
        <v>39.226457400940987</v>
      </c>
      <c r="Y171">
        <f t="shared" si="94"/>
        <v>-30.427308440824291</v>
      </c>
      <c r="Z171">
        <f t="shared" si="95"/>
        <v>29.494059141961074</v>
      </c>
      <c r="AA171">
        <f t="shared" si="96"/>
        <v>-8.799148960116689</v>
      </c>
      <c r="AB171">
        <f t="shared" si="97"/>
        <v>105.53523009916739</v>
      </c>
    </row>
    <row r="172" spans="1:28">
      <c r="A172">
        <v>305492.11132155213</v>
      </c>
      <c r="B172" s="270">
        <f t="shared" si="74"/>
        <v>305.49211132155216</v>
      </c>
      <c r="D172">
        <f t="shared" si="75"/>
        <v>0.90214786629797805</v>
      </c>
      <c r="E172">
        <f t="shared" si="76"/>
        <v>19.89442423115992</v>
      </c>
      <c r="F172">
        <f t="shared" si="77"/>
        <v>17.950212371367716</v>
      </c>
      <c r="G172">
        <f t="shared" si="78"/>
        <v>19.89442423115992</v>
      </c>
      <c r="H172">
        <f t="shared" si="79"/>
        <v>72046.63356797045</v>
      </c>
      <c r="I172">
        <f t="shared" si="80"/>
        <v>-1.5260745369078741</v>
      </c>
      <c r="J172">
        <f t="shared" si="81"/>
        <v>667.50537476920624</v>
      </c>
      <c r="K172">
        <f t="shared" si="82"/>
        <v>-73.885011477113522</v>
      </c>
      <c r="L172">
        <f t="shared" si="83"/>
        <v>13451.806179610503</v>
      </c>
      <c r="M172" s="268">
        <f t="shared" si="84"/>
        <v>11953.018112677006</v>
      </c>
      <c r="N172">
        <f t="shared" si="85"/>
        <v>2.224858204910955E-4</v>
      </c>
      <c r="O172">
        <f t="shared" si="86"/>
        <v>-2.2525448052581361</v>
      </c>
      <c r="Q172">
        <f t="shared" si="87"/>
        <v>-23.493182485288049</v>
      </c>
      <c r="R172">
        <f t="shared" si="88"/>
        <v>0</v>
      </c>
      <c r="S172">
        <f t="shared" si="89"/>
        <v>5.6808229188082502E-5</v>
      </c>
      <c r="T172">
        <f t="shared" si="90"/>
        <v>-1.314032527518753</v>
      </c>
      <c r="U172">
        <f t="shared" si="91"/>
        <v>-46.619118417702026</v>
      </c>
      <c r="V172">
        <f t="shared" si="92"/>
        <v>-24.349828475141891</v>
      </c>
      <c r="W172">
        <f t="shared" si="93"/>
        <v>46.619118417702026</v>
      </c>
      <c r="Y172">
        <f t="shared" si="94"/>
        <v>-37.447030264851485</v>
      </c>
      <c r="Z172">
        <f t="shared" si="95"/>
        <v>-129.06131050540912</v>
      </c>
      <c r="AA172">
        <f t="shared" si="96"/>
        <v>-9.1720881528505416</v>
      </c>
      <c r="AB172">
        <f t="shared" si="97"/>
        <v>104.71148203026725</v>
      </c>
    </row>
    <row r="173" spans="1:28">
      <c r="A173">
        <v>320258.0094629032</v>
      </c>
      <c r="B173" s="270">
        <f t="shared" si="74"/>
        <v>320.2580094629032</v>
      </c>
      <c r="D173">
        <f t="shared" si="75"/>
        <v>0.94575299719503036</v>
      </c>
      <c r="E173">
        <f t="shared" si="76"/>
        <v>19.968933048817043</v>
      </c>
      <c r="F173">
        <f t="shared" si="77"/>
        <v>18.888178281705613</v>
      </c>
      <c r="G173">
        <f t="shared" si="78"/>
        <v>19.968933048817043</v>
      </c>
      <c r="H173">
        <f t="shared" si="79"/>
        <v>79165.414161776105</v>
      </c>
      <c r="I173">
        <f t="shared" si="80"/>
        <v>-1.5281339298949501</v>
      </c>
      <c r="J173">
        <f t="shared" si="81"/>
        <v>142.40812463543764</v>
      </c>
      <c r="K173">
        <f t="shared" si="82"/>
        <v>-77.456228255589608</v>
      </c>
      <c r="L173">
        <f t="shared" si="83"/>
        <v>4236.5914639512966</v>
      </c>
      <c r="M173" s="268">
        <f t="shared" si="84"/>
        <v>1380.3482568931015</v>
      </c>
      <c r="N173">
        <f t="shared" si="85"/>
        <v>3.9873648059280545E-3</v>
      </c>
      <c r="O173">
        <f t="shared" si="86"/>
        <v>-1.8431034766899344</v>
      </c>
      <c r="Q173">
        <f t="shared" si="87"/>
        <v>-23.493182485288049</v>
      </c>
      <c r="R173">
        <f t="shared" si="88"/>
        <v>0</v>
      </c>
      <c r="S173">
        <f t="shared" si="89"/>
        <v>5.2096067509743825E-5</v>
      </c>
      <c r="T173">
        <f t="shared" si="90"/>
        <v>-1.3279874048128453</v>
      </c>
      <c r="U173">
        <f t="shared" si="91"/>
        <v>-34.461345182449278</v>
      </c>
      <c r="V173">
        <f t="shared" si="92"/>
        <v>-1.6901239625291282</v>
      </c>
      <c r="W173">
        <f t="shared" si="93"/>
        <v>34.461345182449278</v>
      </c>
      <c r="Y173">
        <f t="shared" si="94"/>
        <v>-24.913193928533829</v>
      </c>
      <c r="Z173">
        <f t="shared" si="95"/>
        <v>-105.60205042022194</v>
      </c>
      <c r="AA173">
        <f t="shared" si="96"/>
        <v>-9.5481512539154423</v>
      </c>
      <c r="AB173">
        <f t="shared" si="97"/>
        <v>103.91192645769281</v>
      </c>
    </row>
    <row r="174" spans="1:28">
      <c r="A174">
        <v>335737.61424295505</v>
      </c>
      <c r="B174" s="270">
        <f t="shared" si="74"/>
        <v>335.73761424295503</v>
      </c>
      <c r="D174">
        <f t="shared" si="75"/>
        <v>0.99146577309306549</v>
      </c>
      <c r="E174">
        <f t="shared" si="76"/>
        <v>19.999265427452787</v>
      </c>
      <c r="F174">
        <f t="shared" si="77"/>
        <v>19.831087158322894</v>
      </c>
      <c r="G174">
        <f t="shared" si="78"/>
        <v>19.999265427452787</v>
      </c>
      <c r="H174">
        <f t="shared" si="79"/>
        <v>86988.995604007621</v>
      </c>
      <c r="I174">
        <f t="shared" si="80"/>
        <v>-1.5300987097207193</v>
      </c>
      <c r="J174">
        <f t="shared" si="81"/>
        <v>53.983450920738726</v>
      </c>
      <c r="K174">
        <f t="shared" si="82"/>
        <v>-81.200059059886456</v>
      </c>
      <c r="L174">
        <f t="shared" si="83"/>
        <v>2694.5352350037651</v>
      </c>
      <c r="M174" s="268">
        <f t="shared" si="84"/>
        <v>-531.05759834918751</v>
      </c>
      <c r="N174">
        <f t="shared" si="85"/>
        <v>1.1533113382904542E-2</v>
      </c>
      <c r="O174">
        <f t="shared" si="86"/>
        <v>-1.3355057695960342</v>
      </c>
      <c r="Q174">
        <f t="shared" si="87"/>
        <v>-23.493182485288049</v>
      </c>
      <c r="R174">
        <f t="shared" si="88"/>
        <v>0</v>
      </c>
      <c r="S174">
        <f t="shared" si="89"/>
        <v>4.7742944020938458E-5</v>
      </c>
      <c r="T174">
        <f t="shared" si="90"/>
        <v>-1.3415331593643298</v>
      </c>
      <c r="U174">
        <f t="shared" si="91"/>
        <v>-30.227696737367893</v>
      </c>
      <c r="V174">
        <f t="shared" si="92"/>
        <v>26.616967778348908</v>
      </c>
      <c r="W174">
        <f t="shared" si="93"/>
        <v>30.227696737367893</v>
      </c>
      <c r="Y174">
        <f t="shared" si="94"/>
        <v>-20.300588025142371</v>
      </c>
      <c r="Z174">
        <f t="shared" si="95"/>
        <v>-76.518844113223693</v>
      </c>
      <c r="AA174">
        <f t="shared" si="96"/>
        <v>-9.9271087122255253</v>
      </c>
      <c r="AB174">
        <f t="shared" si="97"/>
        <v>103.13581189157263</v>
      </c>
    </row>
    <row r="175" spans="1:28">
      <c r="A175">
        <v>351965.4225247663</v>
      </c>
      <c r="B175" s="270">
        <f t="shared" si="74"/>
        <v>351.96542252476632</v>
      </c>
      <c r="D175">
        <f t="shared" si="75"/>
        <v>1.0393880665781474</v>
      </c>
      <c r="E175">
        <f t="shared" si="76"/>
        <v>19.985084850829686</v>
      </c>
      <c r="F175">
        <f t="shared" si="77"/>
        <v>20.774758703504094</v>
      </c>
      <c r="G175">
        <f t="shared" si="78"/>
        <v>19.985084850829686</v>
      </c>
      <c r="H175">
        <f t="shared" si="79"/>
        <v>95587.157294296048</v>
      </c>
      <c r="I175">
        <f t="shared" si="80"/>
        <v>-1.5319731941451007</v>
      </c>
      <c r="J175">
        <f t="shared" si="81"/>
        <v>-2.4016434991431788</v>
      </c>
      <c r="K175">
        <f t="shared" si="82"/>
        <v>-85.124847153311237</v>
      </c>
      <c r="L175">
        <f t="shared" si="83"/>
        <v>1651.3769099103315</v>
      </c>
      <c r="M175" s="268">
        <f t="shared" si="84"/>
        <v>-1816.8661289932325</v>
      </c>
      <c r="N175">
        <f t="shared" si="85"/>
        <v>1.5857065779632262E-2</v>
      </c>
      <c r="O175">
        <f t="shared" si="86"/>
        <v>-0.69889561654845511</v>
      </c>
      <c r="Q175">
        <f t="shared" si="87"/>
        <v>-23.493182485288049</v>
      </c>
      <c r="R175">
        <f t="shared" si="88"/>
        <v>0</v>
      </c>
      <c r="S175">
        <f t="shared" si="89"/>
        <v>4.3726581220137314E-5</v>
      </c>
      <c r="T175">
        <f t="shared" si="90"/>
        <v>-1.3546840024400388</v>
      </c>
      <c r="U175">
        <f t="shared" si="91"/>
        <v>-29.226570802380948</v>
      </c>
      <c r="V175">
        <f t="shared" si="92"/>
        <v>62.338554937875656</v>
      </c>
      <c r="W175">
        <f t="shared" si="93"/>
        <v>29.226570802380948</v>
      </c>
      <c r="Y175">
        <f t="shared" si="94"/>
        <v>-18.917825363719945</v>
      </c>
      <c r="Z175">
        <f t="shared" si="95"/>
        <v>-40.043769148420012</v>
      </c>
      <c r="AA175">
        <f t="shared" si="96"/>
        <v>-10.308745438660999</v>
      </c>
      <c r="AB175">
        <f t="shared" si="97"/>
        <v>102.38232408629565</v>
      </c>
    </row>
    <row r="176" spans="1:28">
      <c r="A176">
        <v>368977.59857015091</v>
      </c>
      <c r="B176" s="270">
        <f t="shared" si="74"/>
        <v>368.97759857015092</v>
      </c>
      <c r="D176">
        <f t="shared" si="75"/>
        <v>1.0896266742267584</v>
      </c>
      <c r="E176">
        <f t="shared" si="76"/>
        <v>19.926548794525324</v>
      </c>
      <c r="F176">
        <f t="shared" si="77"/>
        <v>21.714999091795853</v>
      </c>
      <c r="G176">
        <f t="shared" si="78"/>
        <v>19.926548794525324</v>
      </c>
      <c r="H176">
        <f t="shared" si="79"/>
        <v>105036.58720030801</v>
      </c>
      <c r="I176">
        <f t="shared" si="80"/>
        <v>-1.5337615077076445</v>
      </c>
      <c r="J176">
        <f t="shared" si="81"/>
        <v>-69.705049252053811</v>
      </c>
      <c r="K176">
        <f t="shared" si="82"/>
        <v>-89.239339069080856</v>
      </c>
      <c r="L176">
        <f t="shared" si="83"/>
        <v>264.63014397333347</v>
      </c>
      <c r="M176" s="268">
        <f t="shared" si="84"/>
        <v>-3327.2544976923505</v>
      </c>
      <c r="N176">
        <f t="shared" si="85"/>
        <v>9.4282265454138387E-3</v>
      </c>
      <c r="O176">
        <f t="shared" si="86"/>
        <v>-4.2332197983510511E-2</v>
      </c>
      <c r="Q176">
        <f t="shared" si="87"/>
        <v>-23.493182485288049</v>
      </c>
      <c r="R176">
        <f t="shared" si="88"/>
        <v>0</v>
      </c>
      <c r="S176">
        <f t="shared" si="89"/>
        <v>4.0025246099219275E-5</v>
      </c>
      <c r="T176">
        <f t="shared" si="90"/>
        <v>-1.3674550734252771</v>
      </c>
      <c r="U176">
        <f t="shared" si="91"/>
        <v>-31.868614109076987</v>
      </c>
      <c r="V176">
        <f t="shared" si="92"/>
        <v>99.225139337012166</v>
      </c>
      <c r="W176">
        <f t="shared" si="93"/>
        <v>31.868614109076987</v>
      </c>
      <c r="Y176">
        <f t="shared" si="94"/>
        <v>-21.175753547559069</v>
      </c>
      <c r="Z176">
        <f t="shared" si="95"/>
        <v>-2.4254562819673664</v>
      </c>
      <c r="AA176">
        <f t="shared" si="96"/>
        <v>-10.692860561517925</v>
      </c>
      <c r="AB176">
        <f t="shared" si="97"/>
        <v>101.65059561897952</v>
      </c>
    </row>
    <row r="177" spans="1:28">
      <c r="A177">
        <v>386812.05463305285</v>
      </c>
      <c r="B177" s="270">
        <f t="shared" si="74"/>
        <v>386.81205463305287</v>
      </c>
      <c r="D177">
        <f t="shared" si="75"/>
        <v>1.1422935546058623</v>
      </c>
      <c r="E177">
        <f t="shared" si="76"/>
        <v>19.8243044772864</v>
      </c>
      <c r="F177">
        <f t="shared" si="77"/>
        <v>22.647675228948394</v>
      </c>
      <c r="G177">
        <f t="shared" si="78"/>
        <v>19.8243044772864</v>
      </c>
      <c r="H177">
        <f t="shared" si="79"/>
        <v>115421.56584632347</v>
      </c>
      <c r="I177">
        <f t="shared" si="80"/>
        <v>-1.5354675898673003</v>
      </c>
      <c r="J177">
        <f t="shared" si="81"/>
        <v>-239.45507376425851</v>
      </c>
      <c r="K177">
        <f t="shared" si="82"/>
        <v>-93.552704102289894</v>
      </c>
      <c r="L177">
        <f t="shared" si="83"/>
        <v>-3568.4402709154956</v>
      </c>
      <c r="M177" s="268">
        <f t="shared" si="84"/>
        <v>-6866.2441444282176</v>
      </c>
      <c r="N177">
        <f t="shared" si="85"/>
        <v>1.9275776484971529E-3</v>
      </c>
      <c r="O177">
        <f t="shared" si="86"/>
        <v>0.51461795295655688</v>
      </c>
      <c r="Q177">
        <f t="shared" si="87"/>
        <v>-23.493182485288049</v>
      </c>
      <c r="R177">
        <f t="shared" si="88"/>
        <v>0</v>
      </c>
      <c r="S177">
        <f t="shared" si="89"/>
        <v>3.6617893637992576E-5</v>
      </c>
      <c r="T177">
        <f t="shared" si="90"/>
        <v>-1.3798622888194967</v>
      </c>
      <c r="U177">
        <f t="shared" si="91"/>
        <v>-39.149201905943642</v>
      </c>
      <c r="V177">
        <f t="shared" si="92"/>
        <v>130.42515130745366</v>
      </c>
      <c r="W177">
        <f t="shared" si="93"/>
        <v>39.149201905943642</v>
      </c>
      <c r="Y177">
        <f t="shared" si="94"/>
        <v>-28.069934824105374</v>
      </c>
      <c r="Z177">
        <f t="shared" si="95"/>
        <v>29.485436766072656</v>
      </c>
      <c r="AA177">
        <f t="shared" si="96"/>
        <v>-11.07926708183826</v>
      </c>
      <c r="AB177">
        <f t="shared" si="97"/>
        <v>100.93971454138099</v>
      </c>
    </row>
    <row r="178" spans="1:28">
      <c r="A178">
        <v>405508.53544838459</v>
      </c>
      <c r="B178" s="270">
        <f t="shared" si="74"/>
        <v>405.50853544838458</v>
      </c>
      <c r="D178">
        <f t="shared" si="75"/>
        <v>1.1975060777766451</v>
      </c>
      <c r="E178">
        <f t="shared" si="76"/>
        <v>19.679471509384353</v>
      </c>
      <c r="F178">
        <f t="shared" si="77"/>
        <v>23.568786739920093</v>
      </c>
      <c r="G178">
        <f t="shared" si="78"/>
        <v>19.679471509384353</v>
      </c>
      <c r="H178">
        <f t="shared" si="79"/>
        <v>126834.71802067643</v>
      </c>
      <c r="I178">
        <f t="shared" si="80"/>
        <v>-1.5370952028675253</v>
      </c>
      <c r="J178">
        <f t="shared" si="81"/>
        <v>960.42546529975573</v>
      </c>
      <c r="K178">
        <f t="shared" si="82"/>
        <v>-98.074554744018585</v>
      </c>
      <c r="L178">
        <f t="shared" si="83"/>
        <v>24566.161557942974</v>
      </c>
      <c r="M178" s="268">
        <f t="shared" si="84"/>
        <v>16588.682362288477</v>
      </c>
      <c r="N178">
        <f t="shared" si="85"/>
        <v>1.4434677062440953E-4</v>
      </c>
      <c r="O178">
        <f t="shared" si="86"/>
        <v>-2.1310272708131865</v>
      </c>
      <c r="Q178">
        <f t="shared" si="87"/>
        <v>-23.493182485288049</v>
      </c>
      <c r="R178">
        <f t="shared" si="88"/>
        <v>0</v>
      </c>
      <c r="S178">
        <f t="shared" si="89"/>
        <v>3.348427668426808E-5</v>
      </c>
      <c r="T178">
        <f t="shared" si="90"/>
        <v>-1.3919222071611002</v>
      </c>
      <c r="U178">
        <f t="shared" si="91"/>
        <v>-50.793774371646222</v>
      </c>
      <c r="V178">
        <f t="shared" si="92"/>
        <v>-21.850136525743181</v>
      </c>
      <c r="W178">
        <f t="shared" si="93"/>
        <v>50.793774371646222</v>
      </c>
      <c r="Y178">
        <f t="shared" si="94"/>
        <v>-39.325982920050762</v>
      </c>
      <c r="Z178">
        <f t="shared" si="95"/>
        <v>-122.09886864487791</v>
      </c>
      <c r="AA178">
        <f t="shared" si="96"/>
        <v>-11.467791451595453</v>
      </c>
      <c r="AB178">
        <f t="shared" si="97"/>
        <v>100.24873211913471</v>
      </c>
    </row>
    <row r="179" spans="1:28">
      <c r="A179">
        <v>425108.70680461655</v>
      </c>
      <c r="B179" s="270">
        <f t="shared" si="74"/>
        <v>425.10870680461653</v>
      </c>
      <c r="D179">
        <f t="shared" si="75"/>
        <v>1.2553872868579741</v>
      </c>
      <c r="E179">
        <f t="shared" si="76"/>
        <v>19.493612296816284</v>
      </c>
      <c r="F179">
        <f t="shared" si="77"/>
        <v>24.474533052361437</v>
      </c>
      <c r="G179">
        <f t="shared" si="78"/>
        <v>19.493612296816284</v>
      </c>
      <c r="H179">
        <f t="shared" si="79"/>
        <v>139377.83890662235</v>
      </c>
      <c r="I179">
        <f t="shared" si="80"/>
        <v>-1.5386479393263</v>
      </c>
      <c r="J179">
        <f t="shared" si="81"/>
        <v>141.44255023913504</v>
      </c>
      <c r="K179">
        <f t="shared" si="82"/>
        <v>-102.81496810311938</v>
      </c>
      <c r="L179">
        <f t="shared" si="83"/>
        <v>5466.018678173783</v>
      </c>
      <c r="M179" s="268">
        <f t="shared" si="84"/>
        <v>240.36950779477957</v>
      </c>
      <c r="N179">
        <f t="shared" si="85"/>
        <v>4.6559945822870442E-3</v>
      </c>
      <c r="O179">
        <f t="shared" si="86"/>
        <v>-1.5825948699009644</v>
      </c>
      <c r="Q179">
        <f t="shared" si="87"/>
        <v>-23.493182485288049</v>
      </c>
      <c r="R179">
        <f t="shared" si="88"/>
        <v>0</v>
      </c>
      <c r="S179">
        <f t="shared" si="89"/>
        <v>3.0605026335319981E-5</v>
      </c>
      <c r="T179">
        <f t="shared" si="90"/>
        <v>-1.4036519093713768</v>
      </c>
      <c r="U179">
        <f t="shared" si="91"/>
        <v>-36.098202073605762</v>
      </c>
      <c r="V179">
        <f t="shared" si="92"/>
        <v>8.900662963159732</v>
      </c>
      <c r="W179">
        <f t="shared" si="93"/>
        <v>36.098202073605762</v>
      </c>
      <c r="Y179">
        <f t="shared" si="94"/>
        <v>-24.239928978477209</v>
      </c>
      <c r="Z179">
        <f t="shared" si="95"/>
        <v>-90.676006724380855</v>
      </c>
      <c r="AA179">
        <f t="shared" si="96"/>
        <v>-11.85827309512856</v>
      </c>
      <c r="AB179">
        <f t="shared" si="97"/>
        <v>99.576669687540587</v>
      </c>
    </row>
    <row r="180" spans="1:28">
      <c r="A180">
        <v>445656.24839750346</v>
      </c>
      <c r="B180" s="270">
        <f t="shared" si="74"/>
        <v>445.65624839750348</v>
      </c>
      <c r="D180">
        <f t="shared" si="75"/>
        <v>1.3160661722324658</v>
      </c>
      <c r="E180">
        <f t="shared" si="76"/>
        <v>19.268691639369056</v>
      </c>
      <c r="F180">
        <f t="shared" si="77"/>
        <v>25.361373249752152</v>
      </c>
      <c r="G180">
        <f t="shared" si="78"/>
        <v>19.268691639369056</v>
      </c>
      <c r="H180">
        <f t="shared" si="79"/>
        <v>153162.80200498443</v>
      </c>
      <c r="I180">
        <f t="shared" si="80"/>
        <v>-1.5401292295523161</v>
      </c>
      <c r="J180">
        <f t="shared" si="81"/>
        <v>25.578605595994613</v>
      </c>
      <c r="K180">
        <f t="shared" si="82"/>
        <v>-107.78450836342074</v>
      </c>
      <c r="L180">
        <f t="shared" si="83"/>
        <v>2725.6181997080052</v>
      </c>
      <c r="M180" s="268">
        <f t="shared" si="84"/>
        <v>-2241.2298501797222</v>
      </c>
      <c r="N180">
        <f t="shared" si="85"/>
        <v>1.2300152626266173E-2</v>
      </c>
      <c r="O180">
        <f t="shared" si="86"/>
        <v>-0.85194792852839507</v>
      </c>
      <c r="Q180">
        <f t="shared" si="87"/>
        <v>-23.493182485288049</v>
      </c>
      <c r="R180">
        <f t="shared" si="88"/>
        <v>0</v>
      </c>
      <c r="S180">
        <f t="shared" si="89"/>
        <v>2.7961706825706768E-5</v>
      </c>
      <c r="T180">
        <f t="shared" si="90"/>
        <v>-1.4150688938087763</v>
      </c>
      <c r="U180">
        <f t="shared" si="91"/>
        <v>-32.271512529019432</v>
      </c>
      <c r="V180">
        <f t="shared" si="92"/>
        <v>50.109503994920885</v>
      </c>
      <c r="W180">
        <f t="shared" si="93"/>
        <v>32.271512529019432</v>
      </c>
      <c r="Y180">
        <f t="shared" si="94"/>
        <v>-20.020948637353687</v>
      </c>
      <c r="Z180">
        <f t="shared" si="95"/>
        <v>-48.813020669590138</v>
      </c>
      <c r="AA180">
        <f t="shared" si="96"/>
        <v>-12.250563891665742</v>
      </c>
      <c r="AB180">
        <f t="shared" si="97"/>
        <v>98.922524664511045</v>
      </c>
    </row>
    <row r="181" spans="1:28">
      <c r="A181">
        <v>467196.95117188123</v>
      </c>
      <c r="B181" s="270">
        <f t="shared" si="74"/>
        <v>467.19695117188121</v>
      </c>
      <c r="D181">
        <f t="shared" si="75"/>
        <v>1.3796779590062636</v>
      </c>
      <c r="E181">
        <f t="shared" si="76"/>
        <v>19.00702742905505</v>
      </c>
      <c r="F181">
        <f t="shared" si="77"/>
        <v>26.226076810094742</v>
      </c>
      <c r="G181">
        <f t="shared" si="78"/>
        <v>19.00702742905505</v>
      </c>
      <c r="H181">
        <f t="shared" si="79"/>
        <v>168312.55694644732</v>
      </c>
      <c r="I181">
        <f t="shared" si="80"/>
        <v>-1.5415423485900355</v>
      </c>
      <c r="J181">
        <f t="shared" si="81"/>
        <v>-75.592515341628015</v>
      </c>
      <c r="K181">
        <f t="shared" si="82"/>
        <v>-112.99425032639662</v>
      </c>
      <c r="L181">
        <f t="shared" si="83"/>
        <v>165.23288248556889</v>
      </c>
      <c r="M181" s="268">
        <f t="shared" si="84"/>
        <v>-4400.743628358603</v>
      </c>
      <c r="N181">
        <f t="shared" si="85"/>
        <v>8.6786578370884222E-3</v>
      </c>
      <c r="O181">
        <f t="shared" si="86"/>
        <v>-8.2749752146020761E-3</v>
      </c>
      <c r="Q181">
        <f t="shared" si="87"/>
        <v>-23.493182485288049</v>
      </c>
      <c r="R181">
        <f t="shared" si="88"/>
        <v>0</v>
      </c>
      <c r="S181">
        <f t="shared" si="89"/>
        <v>2.5536848713247977E-5</v>
      </c>
      <c r="T181">
        <f t="shared" si="90"/>
        <v>-1.4261909851850023</v>
      </c>
      <c r="U181">
        <f t="shared" si="91"/>
        <v>-34.180055612747339</v>
      </c>
      <c r="V181">
        <f t="shared" si="92"/>
        <v>97.811154613922383</v>
      </c>
      <c r="W181">
        <f t="shared" si="93"/>
        <v>34.180055612747339</v>
      </c>
      <c r="Y181">
        <f t="shared" si="94"/>
        <v>-21.535527978413885</v>
      </c>
      <c r="Z181">
        <f t="shared" si="95"/>
        <v>-0.47412115537206162</v>
      </c>
      <c r="AA181">
        <f t="shared" si="96"/>
        <v>-12.64452763433345</v>
      </c>
      <c r="AB181">
        <f t="shared" si="97"/>
        <v>98.285275769294444</v>
      </c>
    </row>
    <row r="182" spans="1:28">
      <c r="A182">
        <v>489778.81936844654</v>
      </c>
      <c r="B182" s="270">
        <f t="shared" si="74"/>
        <v>489.77881936844653</v>
      </c>
      <c r="D182">
        <f t="shared" si="75"/>
        <v>1.4463644083630862</v>
      </c>
      <c r="E182">
        <f t="shared" si="76"/>
        <v>18.711234682492652</v>
      </c>
      <c r="F182">
        <f t="shared" si="77"/>
        <v>27.065763881286344</v>
      </c>
      <c r="G182">
        <f t="shared" si="78"/>
        <v>18.711234682492652</v>
      </c>
      <c r="H182">
        <f t="shared" si="79"/>
        <v>184962.2260930854</v>
      </c>
      <c r="I182">
        <f t="shared" si="80"/>
        <v>-1.5428904229974649</v>
      </c>
      <c r="J182">
        <f t="shared" si="81"/>
        <v>-378.4335520950055</v>
      </c>
      <c r="K182">
        <f t="shared" si="82"/>
        <v>-118.45580409176283</v>
      </c>
      <c r="L182">
        <f t="shared" si="83"/>
        <v>-8026.0956350715096</v>
      </c>
      <c r="M182" s="268">
        <f t="shared" si="84"/>
        <v>-10287.641562550976</v>
      </c>
      <c r="N182">
        <f t="shared" si="85"/>
        <v>1.0863913037632194E-3</v>
      </c>
      <c r="O182">
        <f t="shared" si="86"/>
        <v>0.69043705723163828</v>
      </c>
      <c r="Q182">
        <f t="shared" si="87"/>
        <v>-23.493182485288049</v>
      </c>
      <c r="R182">
        <f t="shared" si="88"/>
        <v>0</v>
      </c>
      <c r="S182">
        <f t="shared" si="89"/>
        <v>2.3313963874047755E-5</v>
      </c>
      <c r="T182">
        <f t="shared" si="90"/>
        <v>-1.4370362564040615</v>
      </c>
      <c r="U182">
        <f t="shared" si="91"/>
        <v>-43.600230314682065</v>
      </c>
      <c r="V182">
        <f t="shared" si="92"/>
        <v>137.223016899573</v>
      </c>
      <c r="W182">
        <f t="shared" si="93"/>
        <v>43.600230314682065</v>
      </c>
      <c r="Y182">
        <f t="shared" si="94"/>
        <v>-30.560190835918295</v>
      </c>
      <c r="Z182">
        <f t="shared" si="95"/>
        <v>39.559129398805347</v>
      </c>
      <c r="AA182">
        <f t="shared" si="96"/>
        <v>-13.040039478763767</v>
      </c>
      <c r="AB182">
        <f t="shared" si="97"/>
        <v>97.663887500767657</v>
      </c>
    </row>
    <row r="183" spans="1:28">
      <c r="A183">
        <v>513452.17750296713</v>
      </c>
      <c r="B183" s="270">
        <f t="shared" si="74"/>
        <v>513.45217750296717</v>
      </c>
      <c r="D183">
        <f t="shared" si="75"/>
        <v>1.5162741334842238</v>
      </c>
      <c r="E183">
        <f t="shared" si="76"/>
        <v>18.384165310713122</v>
      </c>
      <c r="F183">
        <f t="shared" si="77"/>
        <v>27.877934326332266</v>
      </c>
      <c r="G183">
        <f t="shared" si="78"/>
        <v>18.384165310713122</v>
      </c>
      <c r="H183">
        <f t="shared" si="79"/>
        <v>203260.30970986094</v>
      </c>
      <c r="I183">
        <f t="shared" si="80"/>
        <v>-1.5441764373614533</v>
      </c>
      <c r="J183">
        <f t="shared" si="81"/>
        <v>408.82116715563114</v>
      </c>
      <c r="K183">
        <f t="shared" si="82"/>
        <v>-124.18134093100977</v>
      </c>
      <c r="L183">
        <f t="shared" si="83"/>
        <v>13680.103130184936</v>
      </c>
      <c r="M183" s="268">
        <f t="shared" si="84"/>
        <v>4053.302607505404</v>
      </c>
      <c r="N183">
        <f t="shared" si="85"/>
        <v>9.9845671242797837E-4</v>
      </c>
      <c r="O183">
        <f t="shared" si="86"/>
        <v>-1.8322277662356536</v>
      </c>
      <c r="Q183">
        <f t="shared" si="87"/>
        <v>-23.493182485288049</v>
      </c>
      <c r="R183">
        <f t="shared" si="88"/>
        <v>0</v>
      </c>
      <c r="S183">
        <f t="shared" si="89"/>
        <v>2.1277545496866224E-5</v>
      </c>
      <c r="T183">
        <f t="shared" si="90"/>
        <v>-1.4476229623353849</v>
      </c>
      <c r="U183">
        <f t="shared" si="91"/>
        <v>-44.363746623741889</v>
      </c>
      <c r="V183">
        <f t="shared" si="92"/>
        <v>-7.9216041800286519</v>
      </c>
      <c r="W183">
        <f t="shared" si="93"/>
        <v>44.363746623741889</v>
      </c>
      <c r="Y183">
        <f t="shared" si="94"/>
        <v>-30.926761231417707</v>
      </c>
      <c r="Z183">
        <f t="shared" si="95"/>
        <v>-104.97891811198535</v>
      </c>
      <c r="AA183">
        <f t="shared" si="96"/>
        <v>-13.436985392324182</v>
      </c>
      <c r="AB183">
        <f t="shared" si="97"/>
        <v>97.057313931956713</v>
      </c>
    </row>
    <row r="184" spans="1:28">
      <c r="A184">
        <v>538269.7825162888</v>
      </c>
      <c r="B184" s="270">
        <f t="shared" si="74"/>
        <v>538.26978251628884</v>
      </c>
      <c r="D184">
        <f t="shared" si="75"/>
        <v>1.5895629307383958</v>
      </c>
      <c r="E184">
        <f t="shared" si="76"/>
        <v>18.028846042508071</v>
      </c>
      <c r="F184">
        <f t="shared" si="77"/>
        <v>28.66048535316046</v>
      </c>
      <c r="G184">
        <f t="shared" si="78"/>
        <v>18.028846042508071</v>
      </c>
      <c r="H184">
        <f t="shared" si="79"/>
        <v>223370.01045512169</v>
      </c>
      <c r="I184">
        <f t="shared" si="80"/>
        <v>-1.5454032405560585</v>
      </c>
      <c r="J184">
        <f t="shared" si="81"/>
        <v>74.918966390763302</v>
      </c>
      <c r="K184">
        <f t="shared" si="82"/>
        <v>-130.1836204115221</v>
      </c>
      <c r="L184">
        <f t="shared" si="83"/>
        <v>4494.3175693960729</v>
      </c>
      <c r="M184" s="268">
        <f t="shared" si="84"/>
        <v>-2381.0669600117185</v>
      </c>
      <c r="N184">
        <f t="shared" si="85"/>
        <v>8.634869843540496E-3</v>
      </c>
      <c r="O184">
        <f t="shared" si="86"/>
        <v>-1.0582047212409278</v>
      </c>
      <c r="Q184">
        <f t="shared" si="87"/>
        <v>-23.493182485288049</v>
      </c>
      <c r="R184">
        <f t="shared" si="88"/>
        <v>0</v>
      </c>
      <c r="S184">
        <f t="shared" si="89"/>
        <v>1.9413055928858867E-5</v>
      </c>
      <c r="T184">
        <f t="shared" si="90"/>
        <v>-1.4579694845141111</v>
      </c>
      <c r="U184">
        <f t="shared" si="91"/>
        <v>-35.392757297788336</v>
      </c>
      <c r="V184">
        <f t="shared" si="92"/>
        <v>35.833837490554231</v>
      </c>
      <c r="W184">
        <f t="shared" si="93"/>
        <v>35.392757297788336</v>
      </c>
      <c r="Y184">
        <f t="shared" si="94"/>
        <v>-21.557495684671409</v>
      </c>
      <c r="Z184">
        <f t="shared" si="95"/>
        <v>-60.630664387922941</v>
      </c>
      <c r="AA184">
        <f t="shared" si="96"/>
        <v>-13.835261613116934</v>
      </c>
      <c r="AB184">
        <f t="shared" si="97"/>
        <v>96.464501878477193</v>
      </c>
    </row>
    <row r="185" spans="1:28">
      <c r="A185">
        <v>564286.94134510437</v>
      </c>
      <c r="B185" s="270">
        <f t="shared" si="74"/>
        <v>564.28694134510431</v>
      </c>
      <c r="D185">
        <f t="shared" si="75"/>
        <v>1.6663941268796481</v>
      </c>
      <c r="E185">
        <f t="shared" si="76"/>
        <v>17.648416786801487</v>
      </c>
      <c r="F185">
        <f t="shared" si="77"/>
        <v>29.411718082250189</v>
      </c>
      <c r="G185">
        <f t="shared" si="78"/>
        <v>17.648416786801487</v>
      </c>
      <c r="H185">
        <f t="shared" si="79"/>
        <v>245470.68900340371</v>
      </c>
      <c r="I185">
        <f t="shared" si="80"/>
        <v>-1.5465735517501433</v>
      </c>
      <c r="J185">
        <f t="shared" si="81"/>
        <v>-69.861754861441241</v>
      </c>
      <c r="K185">
        <f t="shared" si="82"/>
        <v>-136.47601883174048</v>
      </c>
      <c r="L185">
        <f t="shared" si="83"/>
        <v>353.87460385398015</v>
      </c>
      <c r="M185" s="268">
        <f t="shared" si="84"/>
        <v>-5247.6183971288083</v>
      </c>
      <c r="N185">
        <f t="shared" si="85"/>
        <v>8.8736984315612444E-3</v>
      </c>
      <c r="O185">
        <f t="shared" si="86"/>
        <v>-4.3110559643054103E-2</v>
      </c>
      <c r="Q185">
        <f t="shared" si="87"/>
        <v>-23.493182485288049</v>
      </c>
      <c r="R185">
        <f t="shared" si="88"/>
        <v>0</v>
      </c>
      <c r="S185">
        <f t="shared" si="89"/>
        <v>1.7706904885291155E-5</v>
      </c>
      <c r="T185">
        <f t="shared" si="90"/>
        <v>-1.468094285768337</v>
      </c>
      <c r="U185">
        <f t="shared" si="91"/>
        <v>-35.673781114297867</v>
      </c>
      <c r="V185">
        <f t="shared" si="92"/>
        <v>93.414340378207285</v>
      </c>
      <c r="W185">
        <f t="shared" si="93"/>
        <v>35.673781114297867</v>
      </c>
      <c r="Y185">
        <f t="shared" si="94"/>
        <v>-21.439006988059745</v>
      </c>
      <c r="Z185">
        <f t="shared" si="95"/>
        <v>-2.470053119994013</v>
      </c>
      <c r="AA185">
        <f t="shared" si="96"/>
        <v>-14.234774126238129</v>
      </c>
      <c r="AB185">
        <f t="shared" si="97"/>
        <v>95.884393498201291</v>
      </c>
    </row>
    <row r="186" spans="1:28">
      <c r="A186">
        <v>591561.63417547476</v>
      </c>
      <c r="B186" s="270">
        <f t="shared" si="74"/>
        <v>591.56163417547475</v>
      </c>
      <c r="D186">
        <f t="shared" si="75"/>
        <v>1.7469389430269695</v>
      </c>
      <c r="E186">
        <f t="shared" si="76"/>
        <v>17.246071470732431</v>
      </c>
      <c r="F186">
        <f t="shared" si="77"/>
        <v>30.13033386644889</v>
      </c>
      <c r="G186">
        <f t="shared" si="78"/>
        <v>17.246071470732431</v>
      </c>
      <c r="H186">
        <f t="shared" si="79"/>
        <v>269759.46378338686</v>
      </c>
      <c r="I186">
        <f t="shared" si="80"/>
        <v>-1.5476899661708048</v>
      </c>
      <c r="J186">
        <f t="shared" si="81"/>
        <v>-524.63855601408761</v>
      </c>
      <c r="K186">
        <f t="shared" si="82"/>
        <v>-143.07255903072956</v>
      </c>
      <c r="L186">
        <f t="shared" si="83"/>
        <v>-13340.052092547523</v>
      </c>
      <c r="M186" s="268">
        <f t="shared" si="84"/>
        <v>-13359.485461257867</v>
      </c>
      <c r="N186">
        <f t="shared" si="85"/>
        <v>7.5683111173546519E-4</v>
      </c>
      <c r="O186">
        <f t="shared" si="86"/>
        <v>0.80777667001884668</v>
      </c>
      <c r="Q186">
        <f t="shared" si="87"/>
        <v>-23.493182485288049</v>
      </c>
      <c r="R186">
        <f t="shared" si="88"/>
        <v>0</v>
      </c>
      <c r="S186">
        <f t="shared" si="89"/>
        <v>1.6146420207300333E-5</v>
      </c>
      <c r="T186">
        <f t="shared" si="90"/>
        <v>-1.4780158737981512</v>
      </c>
      <c r="U186">
        <f t="shared" si="91"/>
        <v>-46.765502037857388</v>
      </c>
      <c r="V186">
        <f t="shared" si="92"/>
        <v>141.5981223592371</v>
      </c>
      <c r="W186">
        <f t="shared" si="93"/>
        <v>46.765502037857388</v>
      </c>
      <c r="Y186">
        <f t="shared" si="94"/>
        <v>-32.13006387451437</v>
      </c>
      <c r="Z186">
        <f t="shared" si="95"/>
        <v>46.282193981211698</v>
      </c>
      <c r="AA186">
        <f t="shared" si="96"/>
        <v>-14.635438163343032</v>
      </c>
      <c r="AB186">
        <f t="shared" si="97"/>
        <v>95.315928378025419</v>
      </c>
    </row>
    <row r="187" spans="1:28">
      <c r="A187">
        <v>620154.64365378639</v>
      </c>
      <c r="B187" s="270">
        <f t="shared" si="74"/>
        <v>620.15464365378637</v>
      </c>
      <c r="D187">
        <f t="shared" si="75"/>
        <v>1.8313768762367915</v>
      </c>
      <c r="E187">
        <f t="shared" si="76"/>
        <v>16.825003055303547</v>
      </c>
      <c r="F187">
        <f t="shared" si="77"/>
        <v>30.815421538096285</v>
      </c>
      <c r="G187">
        <f t="shared" si="78"/>
        <v>16.825003055303547</v>
      </c>
      <c r="H187">
        <f t="shared" si="79"/>
        <v>296452.96909924969</v>
      </c>
      <c r="I187">
        <f t="shared" si="80"/>
        <v>-1.5487549606295929</v>
      </c>
      <c r="J187">
        <f t="shared" si="81"/>
        <v>298.62134324570621</v>
      </c>
      <c r="K187">
        <f t="shared" si="82"/>
        <v>-149.9879416385856</v>
      </c>
      <c r="L187">
        <f t="shared" si="83"/>
        <v>11725.73332954091</v>
      </c>
      <c r="M187" s="268">
        <f t="shared" si="84"/>
        <v>401.6217132510991</v>
      </c>
      <c r="N187">
        <f t="shared" si="85"/>
        <v>2.1536076402368771E-3</v>
      </c>
      <c r="O187">
        <f t="shared" si="86"/>
        <v>-1.5829928848570642</v>
      </c>
      <c r="Q187">
        <f t="shared" si="87"/>
        <v>-23.493182485288049</v>
      </c>
      <c r="R187">
        <f t="shared" si="88"/>
        <v>0</v>
      </c>
      <c r="S187">
        <f t="shared" si="89"/>
        <v>1.4719813042277024E-5</v>
      </c>
      <c r="T187">
        <f t="shared" si="90"/>
        <v>-1.4877527727692497</v>
      </c>
      <c r="U187">
        <f t="shared" si="91"/>
        <v>-42.625565539080824</v>
      </c>
      <c r="V187">
        <f t="shared" si="92"/>
        <v>4.0592338598877404</v>
      </c>
      <c r="W187">
        <f t="shared" si="93"/>
        <v>42.625565539080824</v>
      </c>
      <c r="Y187">
        <f t="shared" si="94"/>
        <v>-27.588387808754405</v>
      </c>
      <c r="Z187">
        <f t="shared" si="95"/>
        <v>-90.69881130154846</v>
      </c>
      <c r="AA187">
        <f t="shared" si="96"/>
        <v>-15.037177730326427</v>
      </c>
      <c r="AB187">
        <f t="shared" si="97"/>
        <v>94.7580451614362</v>
      </c>
    </row>
    <row r="188" spans="1:28">
      <c r="A188">
        <v>650129.69034309289</v>
      </c>
      <c r="B188" s="270">
        <f t="shared" si="74"/>
        <v>650.12969034309288</v>
      </c>
      <c r="D188">
        <f t="shared" si="75"/>
        <v>1.9198960995187195</v>
      </c>
      <c r="E188">
        <f t="shared" si="76"/>
        <v>16.388354044482394</v>
      </c>
      <c r="F188">
        <f t="shared" si="77"/>
        <v>31.466437007533582</v>
      </c>
      <c r="G188">
        <f t="shared" si="78"/>
        <v>16.388354044482394</v>
      </c>
      <c r="H188">
        <f t="shared" si="79"/>
        <v>325789.28731630696</v>
      </c>
      <c r="I188">
        <f t="shared" si="80"/>
        <v>-1.5497708988187098</v>
      </c>
      <c r="J188">
        <f t="shared" si="81"/>
        <v>13.56181667183983</v>
      </c>
      <c r="K188">
        <f t="shared" si="82"/>
        <v>-157.2375778373262</v>
      </c>
      <c r="L188">
        <f t="shared" si="83"/>
        <v>3003.6503255311641</v>
      </c>
      <c r="M188" s="268">
        <f t="shared" si="84"/>
        <v>-4726.2279847401924</v>
      </c>
      <c r="N188">
        <f t="shared" si="85"/>
        <v>1.0388971842670831E-2</v>
      </c>
      <c r="O188">
        <f t="shared" si="86"/>
        <v>-0.54510880404526318</v>
      </c>
      <c r="Q188">
        <f t="shared" si="87"/>
        <v>-23.493182485288049</v>
      </c>
      <c r="R188">
        <f t="shared" si="88"/>
        <v>0</v>
      </c>
      <c r="S188">
        <f t="shared" si="89"/>
        <v>1.3416139036119853E-5</v>
      </c>
      <c r="T188">
        <f t="shared" si="90"/>
        <v>-1.4973235020303917</v>
      </c>
      <c r="U188">
        <f t="shared" si="91"/>
        <v>-36.194253116347724</v>
      </c>
      <c r="V188">
        <f t="shared" si="92"/>
        <v>62.977248920693015</v>
      </c>
      <c r="W188">
        <f t="shared" si="93"/>
        <v>36.194253116347724</v>
      </c>
      <c r="Y188">
        <f t="shared" si="94"/>
        <v>-20.754327949467516</v>
      </c>
      <c r="Z188">
        <f t="shared" si="95"/>
        <v>-31.232433847217397</v>
      </c>
      <c r="AA188">
        <f t="shared" si="96"/>
        <v>-15.439925166880208</v>
      </c>
      <c r="AB188">
        <f t="shared" si="97"/>
        <v>94.209682767910408</v>
      </c>
    </row>
    <row r="189" spans="1:28">
      <c r="A189">
        <v>681553.57472670684</v>
      </c>
      <c r="B189" s="270">
        <f t="shared" si="74"/>
        <v>681.55357472670687</v>
      </c>
      <c r="D189">
        <f t="shared" si="75"/>
        <v>2.0126938811859274</v>
      </c>
      <c r="E189">
        <f t="shared" si="76"/>
        <v>15.939173400282954</v>
      </c>
      <c r="F189">
        <f t="shared" si="77"/>
        <v>32.083176773910992</v>
      </c>
      <c r="G189">
        <f t="shared" si="78"/>
        <v>15.939173400282954</v>
      </c>
      <c r="H189">
        <f t="shared" si="79"/>
        <v>358030.07234430267</v>
      </c>
      <c r="I189">
        <f t="shared" si="80"/>
        <v>-1.5507400363845427</v>
      </c>
      <c r="J189">
        <f t="shared" si="81"/>
        <v>-270.14121236499653</v>
      </c>
      <c r="K189">
        <f t="shared" si="82"/>
        <v>-164.83762370527006</v>
      </c>
      <c r="L189">
        <f t="shared" si="83"/>
        <v>-6039.5696222718852</v>
      </c>
      <c r="M189" s="268">
        <f t="shared" si="84"/>
        <v>-9595.1573266683499</v>
      </c>
      <c r="N189">
        <f t="shared" si="85"/>
        <v>2.7852845501471378E-3</v>
      </c>
      <c r="O189">
        <f t="shared" si="86"/>
        <v>0.58184158217310333</v>
      </c>
      <c r="Q189">
        <f t="shared" si="87"/>
        <v>-23.493182485288049</v>
      </c>
      <c r="R189">
        <f t="shared" si="88"/>
        <v>0</v>
      </c>
      <c r="S189">
        <f t="shared" si="89"/>
        <v>1.2225256868238569E-5</v>
      </c>
      <c r="T189">
        <f t="shared" si="90"/>
        <v>-1.5067465611152109</v>
      </c>
      <c r="U189">
        <f t="shared" si="91"/>
        <v>-42.314978680721936</v>
      </c>
      <c r="V189">
        <f t="shared" si="92"/>
        <v>127.00684825598096</v>
      </c>
      <c r="W189">
        <f t="shared" si="93"/>
        <v>42.314978680721936</v>
      </c>
      <c r="Y189">
        <f t="shared" si="94"/>
        <v>-26.471357939903761</v>
      </c>
      <c r="Z189">
        <f t="shared" si="95"/>
        <v>33.337067003733097</v>
      </c>
      <c r="AA189">
        <f t="shared" si="96"/>
        <v>-15.843620740818174</v>
      </c>
      <c r="AB189">
        <f t="shared" si="97"/>
        <v>93.669781252247859</v>
      </c>
    </row>
    <row r="190" spans="1:28">
      <c r="A190">
        <v>714496.32607551478</v>
      </c>
      <c r="B190" s="270">
        <f t="shared" si="74"/>
        <v>714.49632607551473</v>
      </c>
      <c r="D190">
        <f t="shared" si="75"/>
        <v>2.10997702447479</v>
      </c>
      <c r="E190">
        <f t="shared" si="76"/>
        <v>15.480380385112248</v>
      </c>
      <c r="F190">
        <f t="shared" si="77"/>
        <v>32.665746942717043</v>
      </c>
      <c r="G190">
        <f t="shared" si="78"/>
        <v>15.480380385112248</v>
      </c>
      <c r="H190">
        <f t="shared" si="79"/>
        <v>393462.88335795701</v>
      </c>
      <c r="I190">
        <f t="shared" si="80"/>
        <v>-1.5516645257859703</v>
      </c>
      <c r="J190">
        <f t="shared" si="81"/>
        <v>551.57220623284354</v>
      </c>
      <c r="K190">
        <f t="shared" si="82"/>
        <v>-172.80501622144681</v>
      </c>
      <c r="L190">
        <f t="shared" si="83"/>
        <v>20692.648673825726</v>
      </c>
      <c r="M190" s="268">
        <f t="shared" si="84"/>
        <v>2892.8881554073432</v>
      </c>
      <c r="N190">
        <f t="shared" si="85"/>
        <v>9.0129153044455354E-4</v>
      </c>
      <c r="O190">
        <f t="shared" si="86"/>
        <v>-1.6905669548013098</v>
      </c>
      <c r="Q190">
        <f t="shared" si="87"/>
        <v>-23.493182485288049</v>
      </c>
      <c r="R190">
        <f t="shared" si="88"/>
        <v>0</v>
      </c>
      <c r="S190">
        <f t="shared" si="89"/>
        <v>1.1137785229729246E-5</v>
      </c>
      <c r="T190">
        <f t="shared" si="90"/>
        <v>-1.5160404202420186</v>
      </c>
      <c r="U190">
        <f t="shared" si="91"/>
        <v>-47.619613021161811</v>
      </c>
      <c r="V190">
        <f t="shared" si="92"/>
        <v>-3.725069145506211</v>
      </c>
      <c r="W190">
        <f t="shared" si="93"/>
        <v>47.619613021161811</v>
      </c>
      <c r="Y190">
        <f t="shared" si="94"/>
        <v>-31.371400741819087</v>
      </c>
      <c r="Z190">
        <f t="shared" si="95"/>
        <v>-96.862351494398851</v>
      </c>
      <c r="AA190">
        <f t="shared" si="96"/>
        <v>-16.248212279342731</v>
      </c>
      <c r="AB190">
        <f t="shared" si="97"/>
        <v>93.13728234889264</v>
      </c>
    </row>
    <row r="191" spans="1:28">
      <c r="A191">
        <v>749031.35851075884</v>
      </c>
      <c r="B191" s="270">
        <f t="shared" si="74"/>
        <v>749.03135851075888</v>
      </c>
      <c r="D191">
        <f t="shared" si="75"/>
        <v>2.2119623284134358</v>
      </c>
      <c r="E191">
        <f t="shared" si="76"/>
        <v>15.014735496810818</v>
      </c>
      <c r="F191">
        <f t="shared" si="77"/>
        <v>33.214529290037518</v>
      </c>
      <c r="G191">
        <f t="shared" si="78"/>
        <v>15.014735496810818</v>
      </c>
      <c r="H191">
        <f t="shared" si="79"/>
        <v>432403.7495694735</v>
      </c>
      <c r="I191">
        <f t="shared" si="80"/>
        <v>-1.5525464209449045</v>
      </c>
      <c r="J191">
        <f t="shared" si="81"/>
        <v>26.095758894436972</v>
      </c>
      <c r="K191">
        <f t="shared" si="82"/>
        <v>-181.15751101027209</v>
      </c>
      <c r="L191">
        <f t="shared" si="83"/>
        <v>3586.8336400489002</v>
      </c>
      <c r="M191" s="268">
        <f t="shared" si="84"/>
        <v>-5626.1363157338174</v>
      </c>
      <c r="N191">
        <f t="shared" si="85"/>
        <v>9.7128379770383983E-3</v>
      </c>
      <c r="O191">
        <f t="shared" si="86"/>
        <v>-0.54930942301054442</v>
      </c>
      <c r="Q191">
        <f t="shared" si="87"/>
        <v>-23.493182485288049</v>
      </c>
      <c r="R191">
        <f t="shared" si="88"/>
        <v>0</v>
      </c>
      <c r="S191">
        <f t="shared" si="89"/>
        <v>1.0145059142320692E-5</v>
      </c>
      <c r="T191">
        <f t="shared" si="90"/>
        <v>-1.5252235155778977</v>
      </c>
      <c r="U191">
        <f t="shared" si="91"/>
        <v>-37.700247038393186</v>
      </c>
      <c r="V191">
        <f t="shared" si="92"/>
        <v>61.138018158009871</v>
      </c>
      <c r="W191">
        <f t="shared" si="93"/>
        <v>37.700247038393186</v>
      </c>
      <c r="Y191">
        <f t="shared" si="94"/>
        <v>-21.046592199541582</v>
      </c>
      <c r="Z191">
        <f t="shared" si="95"/>
        <v>-31.473111585270622</v>
      </c>
      <c r="AA191">
        <f t="shared" si="96"/>
        <v>-16.653654838851601</v>
      </c>
      <c r="AB191">
        <f t="shared" si="97"/>
        <v>92.611129743280486</v>
      </c>
    </row>
    <row r="192" spans="1:28">
      <c r="A192">
        <v>785235.63461007224</v>
      </c>
      <c r="B192" s="270">
        <f t="shared" si="74"/>
        <v>785.23563461007222</v>
      </c>
      <c r="D192">
        <f t="shared" si="75"/>
        <v>2.3188770709662467</v>
      </c>
      <c r="E192">
        <f t="shared" si="76"/>
        <v>14.544818357454941</v>
      </c>
      <c r="F192">
        <f t="shared" si="77"/>
        <v>33.730145790471205</v>
      </c>
      <c r="G192">
        <f t="shared" si="78"/>
        <v>14.544818357454941</v>
      </c>
      <c r="H192">
        <f t="shared" si="79"/>
        <v>475199.9889284891</v>
      </c>
      <c r="I192">
        <f t="shared" si="80"/>
        <v>-1.5533876816965171</v>
      </c>
      <c r="J192">
        <f t="shared" si="81"/>
        <v>-389.16723684354167</v>
      </c>
      <c r="K192">
        <f t="shared" si="82"/>
        <v>-189.91372191060128</v>
      </c>
      <c r="L192">
        <f t="shared" si="83"/>
        <v>-10364.363866005553</v>
      </c>
      <c r="M192" s="268">
        <f t="shared" si="84"/>
        <v>-12067.123373002431</v>
      </c>
      <c r="N192">
        <f t="shared" si="85"/>
        <v>1.8779972763793827E-3</v>
      </c>
      <c r="O192">
        <f t="shared" si="86"/>
        <v>0.72704276366127796</v>
      </c>
      <c r="Q192">
        <f t="shared" si="87"/>
        <v>-23.493182485288049</v>
      </c>
      <c r="R192">
        <f t="shared" si="88"/>
        <v>0</v>
      </c>
      <c r="S192">
        <f t="shared" si="89"/>
        <v>9.2390863392937153E-6</v>
      </c>
      <c r="T192">
        <f t="shared" si="90"/>
        <v>-1.5343142485837415</v>
      </c>
      <c r="U192">
        <f t="shared" si="91"/>
        <v>-45.243014475054196</v>
      </c>
      <c r="V192">
        <f t="shared" si="92"/>
        <v>133.74675099268396</v>
      </c>
      <c r="W192">
        <f t="shared" si="93"/>
        <v>45.243014475054196</v>
      </c>
      <c r="Y192">
        <f t="shared" si="94"/>
        <v>-28.183104060627642</v>
      </c>
      <c r="Z192">
        <f t="shared" si="95"/>
        <v>41.656481883318605</v>
      </c>
      <c r="AA192">
        <f t="shared" si="96"/>
        <v>-17.059910414426561</v>
      </c>
      <c r="AB192">
        <f t="shared" si="97"/>
        <v>92.090269109365366</v>
      </c>
    </row>
    <row r="193" spans="1:28">
      <c r="A193">
        <v>823189.8369213969</v>
      </c>
      <c r="B193" s="270">
        <f t="shared" si="74"/>
        <v>823.18983692139693</v>
      </c>
      <c r="D193">
        <f t="shared" si="75"/>
        <v>2.4309595155311183</v>
      </c>
      <c r="E193">
        <f t="shared" si="76"/>
        <v>14.073012173126353</v>
      </c>
      <c r="F193">
        <f t="shared" si="77"/>
        <v>34.213422854446769</v>
      </c>
      <c r="G193">
        <f t="shared" si="78"/>
        <v>14.073012173126353</v>
      </c>
      <c r="H193">
        <f t="shared" si="79"/>
        <v>522233.30588980066</v>
      </c>
      <c r="I193">
        <f t="shared" si="80"/>
        <v>-1.5541901780465293</v>
      </c>
      <c r="J193">
        <f t="shared" si="81"/>
        <v>339.04422760367186</v>
      </c>
      <c r="K193">
        <f t="shared" si="82"/>
        <v>-199.09316245734996</v>
      </c>
      <c r="L193">
        <f t="shared" si="83"/>
        <v>14401.747205036265</v>
      </c>
      <c r="M193" s="268">
        <f t="shared" si="84"/>
        <v>-2041.2694770584535</v>
      </c>
      <c r="N193">
        <f t="shared" si="85"/>
        <v>2.4682883776918434E-3</v>
      </c>
      <c r="O193">
        <f t="shared" si="86"/>
        <v>-1.4133904202813277</v>
      </c>
      <c r="Q193">
        <f t="shared" si="87"/>
        <v>-23.493182485288049</v>
      </c>
      <c r="R193">
        <f t="shared" si="88"/>
        <v>0</v>
      </c>
      <c r="S193">
        <f t="shared" si="89"/>
        <v>8.412504277836504E-6</v>
      </c>
      <c r="T193">
        <f t="shared" si="90"/>
        <v>-1.5433309888036397</v>
      </c>
      <c r="U193">
        <f t="shared" si="91"/>
        <v>-44.463042348443295</v>
      </c>
      <c r="V193">
        <f t="shared" si="92"/>
        <v>10.592342063457608</v>
      </c>
      <c r="W193">
        <f t="shared" si="93"/>
        <v>44.463042348443295</v>
      </c>
      <c r="Y193">
        <f t="shared" si="94"/>
        <v>-26.996094658648996</v>
      </c>
      <c r="Z193">
        <f t="shared" si="95"/>
        <v>-80.981305886341701</v>
      </c>
      <c r="AA193">
        <f t="shared" si="96"/>
        <v>-17.466947689794303</v>
      </c>
      <c r="AB193">
        <f t="shared" si="97"/>
        <v>91.573647949799337</v>
      </c>
    </row>
    <row r="194" spans="1:28">
      <c r="A194">
        <v>862978.54776697105</v>
      </c>
      <c r="B194" s="270">
        <f t="shared" si="74"/>
        <v>862.97854776697102</v>
      </c>
      <c r="D194">
        <f t="shared" si="75"/>
        <v>2.5484594419180864</v>
      </c>
      <c r="E194">
        <f t="shared" si="76"/>
        <v>13.601494201173802</v>
      </c>
      <c r="F194">
        <f t="shared" si="77"/>
        <v>34.665356321175473</v>
      </c>
      <c r="G194">
        <f t="shared" si="78"/>
        <v>13.601494201173802</v>
      </c>
      <c r="H194">
        <f t="shared" si="79"/>
        <v>573923.19587816286</v>
      </c>
      <c r="I194">
        <f t="shared" si="80"/>
        <v>-1.5549556942428457</v>
      </c>
      <c r="J194">
        <f t="shared" si="81"/>
        <v>-84.707052720227637</v>
      </c>
      <c r="K194">
        <f t="shared" si="82"/>
        <v>-208.71628936811479</v>
      </c>
      <c r="L194">
        <f t="shared" si="83"/>
        <v>-97.503585108323136</v>
      </c>
      <c r="M194" s="268">
        <f t="shared" si="84"/>
        <v>-8388.3990760242177</v>
      </c>
      <c r="N194">
        <f t="shared" si="85"/>
        <v>8.1552435843240678E-3</v>
      </c>
      <c r="O194">
        <f t="shared" si="86"/>
        <v>2.7463731714308715E-2</v>
      </c>
      <c r="Q194">
        <f t="shared" si="87"/>
        <v>-23.493182485288049</v>
      </c>
      <c r="R194">
        <f t="shared" si="88"/>
        <v>0</v>
      </c>
      <c r="S194">
        <f t="shared" si="89"/>
        <v>7.658538223117181E-6</v>
      </c>
      <c r="T194">
        <f t="shared" si="90"/>
        <v>-1.5522920795040107</v>
      </c>
      <c r="U194">
        <f t="shared" si="91"/>
        <v>-39.680426097090148</v>
      </c>
      <c r="V194">
        <f t="shared" si="92"/>
        <v>92.633771189743626</v>
      </c>
      <c r="W194">
        <f t="shared" si="93"/>
        <v>39.680426097090148</v>
      </c>
      <c r="Y194">
        <f t="shared" si="94"/>
        <v>-21.8056842688055</v>
      </c>
      <c r="Z194">
        <f t="shared" si="95"/>
        <v>1.5735559169094786</v>
      </c>
      <c r="AA194">
        <f t="shared" si="96"/>
        <v>-17.874741828284648</v>
      </c>
      <c r="AB194">
        <f t="shared" si="97"/>
        <v>91.060215272834142</v>
      </c>
    </row>
    <row r="195" spans="1:28">
      <c r="A195">
        <v>904690.43773812021</v>
      </c>
      <c r="B195" s="270">
        <f t="shared" ref="B195:B200" si="98">A195/1000</f>
        <v>904.69043773812018</v>
      </c>
      <c r="D195">
        <f t="shared" si="75"/>
        <v>2.6716387029927517</v>
      </c>
      <c r="E195">
        <f t="shared" si="76"/>
        <v>13.132231541566245</v>
      </c>
      <c r="F195">
        <f t="shared" si="77"/>
        <v>35.087078043110544</v>
      </c>
      <c r="G195">
        <f t="shared" si="78"/>
        <v>13.132231541566245</v>
      </c>
      <c r="H195">
        <f t="shared" si="79"/>
        <v>630730.68681499746</v>
      </c>
      <c r="I195">
        <f t="shared" si="80"/>
        <v>-1.5556859326687</v>
      </c>
      <c r="J195">
        <f t="shared" si="81"/>
        <v>5896.8230315452829</v>
      </c>
      <c r="K195">
        <f t="shared" si="82"/>
        <v>-218.80454813171525</v>
      </c>
      <c r="L195">
        <f t="shared" si="83"/>
        <v>209775.72508347855</v>
      </c>
      <c r="M195" s="268">
        <f t="shared" si="84"/>
        <v>69760.151220876432</v>
      </c>
      <c r="N195">
        <f t="shared" si="85"/>
        <v>1.2905679782888093E-5</v>
      </c>
      <c r="O195">
        <f t="shared" si="86"/>
        <v>-1.8767280328862497</v>
      </c>
      <c r="Q195">
        <f t="shared" si="87"/>
        <v>-23.493182485288049</v>
      </c>
      <c r="R195">
        <f t="shared" si="88"/>
        <v>0</v>
      </c>
      <c r="S195">
        <f t="shared" si="89"/>
        <v>6.9709607354629156E-6</v>
      </c>
      <c r="T195">
        <f t="shared" si="90"/>
        <v>-1.5612158456044678</v>
      </c>
      <c r="U195">
        <f t="shared" si="91"/>
        <v>-68.095519095135074</v>
      </c>
      <c r="V195">
        <f t="shared" si="92"/>
        <v>-16.979674440355211</v>
      </c>
      <c r="W195">
        <f t="shared" si="93"/>
        <v>68.095519095135074</v>
      </c>
      <c r="Y195">
        <f t="shared" si="94"/>
        <v>-49.812244790015143</v>
      </c>
      <c r="Z195">
        <f t="shared" si="95"/>
        <v>-107.52859557827128</v>
      </c>
      <c r="AA195">
        <f t="shared" si="96"/>
        <v>-18.283274305119939</v>
      </c>
      <c r="AB195">
        <f t="shared" si="97"/>
        <v>90.548921137916039</v>
      </c>
    </row>
    <row r="196" spans="1:28">
      <c r="A196">
        <v>948418.46330089821</v>
      </c>
      <c r="B196" s="270">
        <f t="shared" si="98"/>
        <v>948.41846330089822</v>
      </c>
      <c r="D196">
        <f t="shared" si="75"/>
        <v>2.8007718082249209</v>
      </c>
      <c r="E196">
        <f t="shared" si="76"/>
        <v>12.666981503685045</v>
      </c>
      <c r="F196">
        <f t="shared" si="77"/>
        <v>35.479824690827591</v>
      </c>
      <c r="G196">
        <f t="shared" si="78"/>
        <v>12.666981503685045</v>
      </c>
      <c r="H196">
        <f t="shared" si="79"/>
        <v>693162.4510780886</v>
      </c>
      <c r="I196">
        <f t="shared" si="80"/>
        <v>-1.5563825175643164</v>
      </c>
      <c r="J196">
        <f t="shared" si="81"/>
        <v>45.231304636797724</v>
      </c>
      <c r="K196">
        <f t="shared" si="82"/>
        <v>-229.38042080024601</v>
      </c>
      <c r="L196">
        <f t="shared" si="83"/>
        <v>4510.3994874592463</v>
      </c>
      <c r="M196" s="268">
        <f t="shared" si="84"/>
        <v>-7566.5672457965129</v>
      </c>
      <c r="N196">
        <f t="shared" si="85"/>
        <v>8.9328922040053226E-3</v>
      </c>
      <c r="O196">
        <f t="shared" si="86"/>
        <v>-0.52313006232729697</v>
      </c>
      <c r="Q196">
        <f t="shared" si="87"/>
        <v>-23.493182485288049</v>
      </c>
      <c r="R196">
        <f t="shared" si="88"/>
        <v>0</v>
      </c>
      <c r="S196">
        <f t="shared" si="89"/>
        <v>6.3440528011601173E-6</v>
      </c>
      <c r="T196">
        <f t="shared" si="90"/>
        <v>-1.5701206033729598</v>
      </c>
      <c r="U196">
        <f t="shared" si="91"/>
        <v>-40.102665490149874</v>
      </c>
      <c r="V196">
        <f t="shared" si="92"/>
        <v>60.065571392425284</v>
      </c>
      <c r="W196">
        <f t="shared" si="93"/>
        <v>40.102665490149874</v>
      </c>
      <c r="Y196">
        <f t="shared" si="94"/>
        <v>-21.410132708914663</v>
      </c>
      <c r="Z196">
        <f t="shared" si="95"/>
        <v>-29.973144707769819</v>
      </c>
      <c r="AA196">
        <f t="shared" si="96"/>
        <v>-18.692532781235222</v>
      </c>
      <c r="AB196">
        <f t="shared" si="97"/>
        <v>90.038716100195117</v>
      </c>
    </row>
    <row r="197" spans="1:28">
      <c r="A197">
        <v>994260.07395295973</v>
      </c>
      <c r="B197" s="270">
        <f t="shared" si="98"/>
        <v>994.26007395295971</v>
      </c>
      <c r="D197">
        <f t="shared" si="75"/>
        <v>2.9361465354429672</v>
      </c>
      <c r="E197">
        <f t="shared" si="76"/>
        <v>12.207295780958841</v>
      </c>
      <c r="F197">
        <f t="shared" si="77"/>
        <v>35.844909214389851</v>
      </c>
      <c r="G197">
        <f t="shared" si="78"/>
        <v>12.207295780958841</v>
      </c>
      <c r="H197">
        <f t="shared" si="79"/>
        <v>761775.32456930319</v>
      </c>
      <c r="I197">
        <f t="shared" si="80"/>
        <v>-1.5570469985839455</v>
      </c>
      <c r="J197">
        <f t="shared" si="81"/>
        <v>-1011.7012524523403</v>
      </c>
      <c r="K197">
        <f t="shared" si="82"/>
        <v>-240.46747609114962</v>
      </c>
      <c r="L197">
        <f t="shared" si="83"/>
        <v>-33328.838759069295</v>
      </c>
      <c r="M197" s="268">
        <f t="shared" si="84"/>
        <v>-20970.860330323259</v>
      </c>
      <c r="N197">
        <f t="shared" si="85"/>
        <v>4.9128143046931296E-4</v>
      </c>
      <c r="O197">
        <f t="shared" si="86"/>
        <v>1.0229241842756402</v>
      </c>
      <c r="Q197">
        <f t="shared" si="87"/>
        <v>-23.493182485288049</v>
      </c>
      <c r="R197">
        <f t="shared" si="88"/>
        <v>0</v>
      </c>
      <c r="S197">
        <f t="shared" si="89"/>
        <v>5.7725667723104331E-6</v>
      </c>
      <c r="T197">
        <f t="shared" si="90"/>
        <v>-1.5790246713819178</v>
      </c>
      <c r="U197">
        <f t="shared" si="91"/>
        <v>-53.109261171034561</v>
      </c>
      <c r="V197">
        <f t="shared" si="92"/>
        <v>148.13778910364104</v>
      </c>
      <c r="W197">
        <f t="shared" si="93"/>
        <v>53.109261171034561</v>
      </c>
      <c r="Y197">
        <f t="shared" si="94"/>
        <v>-34.006750152292383</v>
      </c>
      <c r="Z197">
        <f t="shared" si="95"/>
        <v>58.609238520856678</v>
      </c>
      <c r="AA197">
        <f t="shared" si="96"/>
        <v>-19.102511018742184</v>
      </c>
      <c r="AB197">
        <f t="shared" si="97"/>
        <v>89.528550582784362</v>
      </c>
    </row>
    <row r="198" spans="1:28">
      <c r="A198">
        <v>1042317.4293933057</v>
      </c>
      <c r="B198" s="270">
        <f t="shared" si="98"/>
        <v>1042.3174293933057</v>
      </c>
      <c r="D198">
        <f t="shared" si="75"/>
        <v>3.0780645721571709</v>
      </c>
      <c r="E198">
        <f t="shared" si="76"/>
        <v>11.754527683723808</v>
      </c>
      <c r="F198">
        <f t="shared" si="77"/>
        <v>36.183695225710942</v>
      </c>
      <c r="G198">
        <f t="shared" si="78"/>
        <v>11.754527683723808</v>
      </c>
      <c r="H198">
        <f t="shared" si="79"/>
        <v>837181.27319638757</v>
      </c>
      <c r="I198">
        <f t="shared" si="80"/>
        <v>-1.5576808541949427</v>
      </c>
      <c r="J198">
        <f t="shared" si="81"/>
        <v>118.58501614021115</v>
      </c>
      <c r="K198">
        <f t="shared" si="82"/>
        <v>-252.09042191095938</v>
      </c>
      <c r="L198">
        <f t="shared" si="83"/>
        <v>7254.091106331437</v>
      </c>
      <c r="M198" s="268">
        <f t="shared" si="84"/>
        <v>-7728.8986633169388</v>
      </c>
      <c r="N198">
        <f t="shared" si="85"/>
        <v>7.4510352325574602E-3</v>
      </c>
      <c r="O198">
        <f t="shared" si="86"/>
        <v>-0.7406035186525024</v>
      </c>
      <c r="Q198">
        <f t="shared" si="87"/>
        <v>-23.493182485288049</v>
      </c>
      <c r="R198">
        <f t="shared" si="88"/>
        <v>0</v>
      </c>
      <c r="S198">
        <f t="shared" si="89"/>
        <v>5.2516912198103129E-6</v>
      </c>
      <c r="T198">
        <f t="shared" si="90"/>
        <v>-1.5879463822396898</v>
      </c>
      <c r="U198">
        <f t="shared" si="91"/>
        <v>-41.711096309709475</v>
      </c>
      <c r="V198">
        <f t="shared" si="92"/>
        <v>46.583918293271267</v>
      </c>
      <c r="W198">
        <f t="shared" si="93"/>
        <v>41.711096309709475</v>
      </c>
      <c r="Y198">
        <f t="shared" si="94"/>
        <v>-22.197887471614436</v>
      </c>
      <c r="Z198">
        <f t="shared" si="95"/>
        <v>-42.433455911326732</v>
      </c>
      <c r="AA198">
        <f t="shared" si="96"/>
        <v>-19.513208838095032</v>
      </c>
      <c r="AB198">
        <f t="shared" si="97"/>
        <v>89.017374204597999</v>
      </c>
    </row>
    <row r="199" spans="1:28">
      <c r="A199">
        <v>1092697.6271889114</v>
      </c>
      <c r="B199" s="270">
        <f t="shared" si="98"/>
        <v>1092.6976271889114</v>
      </c>
      <c r="D199">
        <f t="shared" si="75"/>
        <v>3.2268421878813816</v>
      </c>
      <c r="E199">
        <f t="shared" si="76"/>
        <v>11.309841726161112</v>
      </c>
      <c r="F199">
        <f t="shared" si="77"/>
        <v>36.497574420237861</v>
      </c>
      <c r="G199">
        <f t="shared" si="78"/>
        <v>11.309841726161112</v>
      </c>
      <c r="H199">
        <f t="shared" si="79"/>
        <v>920052.85106550448</v>
      </c>
      <c r="I199">
        <f t="shared" si="80"/>
        <v>-1.5582854949253775</v>
      </c>
      <c r="J199">
        <f t="shared" si="81"/>
        <v>-909.3117408118776</v>
      </c>
      <c r="K199">
        <f t="shared" si="82"/>
        <v>-264.27516041777324</v>
      </c>
      <c r="L199">
        <f t="shared" si="83"/>
        <v>-30198.719514172655</v>
      </c>
      <c r="M199" s="268">
        <f t="shared" si="84"/>
        <v>-19930.880976170898</v>
      </c>
      <c r="N199">
        <f t="shared" si="85"/>
        <v>7.0275814996575319E-4</v>
      </c>
      <c r="O199">
        <f t="shared" si="86"/>
        <v>0.99994046963114358</v>
      </c>
      <c r="Q199">
        <f t="shared" si="87"/>
        <v>-23.493182485288049</v>
      </c>
      <c r="R199">
        <f t="shared" si="88"/>
        <v>0</v>
      </c>
      <c r="S199">
        <f t="shared" si="89"/>
        <v>4.7770177539402274E-6</v>
      </c>
      <c r="T199">
        <f t="shared" si="90"/>
        <v>-1.5969040946222595</v>
      </c>
      <c r="U199">
        <f t="shared" si="91"/>
        <v>-52.376626849726151</v>
      </c>
      <c r="V199">
        <f t="shared" si="92"/>
        <v>145.79650376517867</v>
      </c>
      <c r="W199">
        <f t="shared" si="93"/>
        <v>52.376626849726151</v>
      </c>
      <c r="Y199">
        <f t="shared" si="94"/>
        <v>-32.451994732740935</v>
      </c>
      <c r="Z199">
        <f t="shared" si="95"/>
        <v>57.292368674193995</v>
      </c>
      <c r="AA199">
        <f t="shared" si="96"/>
        <v>-19.924632116985215</v>
      </c>
      <c r="AB199">
        <f t="shared" si="97"/>
        <v>88.504135090984676</v>
      </c>
    </row>
    <row r="200" spans="1:28">
      <c r="A200">
        <v>1145512.9414455376</v>
      </c>
      <c r="B200" s="270">
        <f t="shared" si="98"/>
        <v>1145.5129414455375</v>
      </c>
      <c r="D200">
        <f t="shared" si="75"/>
        <v>3.3828109389510952</v>
      </c>
      <c r="E200">
        <f t="shared" si="76"/>
        <v>10.874224927367449</v>
      </c>
      <c r="F200">
        <f t="shared" si="77"/>
        <v>36.78794703691328</v>
      </c>
      <c r="G200">
        <f t="shared" si="78"/>
        <v>10.874224927367449</v>
      </c>
      <c r="H200">
        <f t="shared" si="79"/>
        <v>1011129.1990666504</v>
      </c>
      <c r="I200">
        <f t="shared" si="80"/>
        <v>-1.5588622664664635</v>
      </c>
      <c r="J200">
        <f t="shared" si="81"/>
        <v>96.015090061478617</v>
      </c>
      <c r="K200">
        <f t="shared" si="82"/>
        <v>-277.04884574515233</v>
      </c>
      <c r="L200">
        <f t="shared" si="83"/>
        <v>6544.9326932504864</v>
      </c>
      <c r="M200" s="268">
        <f t="shared" si="84"/>
        <v>-9149.3385138483136</v>
      </c>
      <c r="N200">
        <f t="shared" si="85"/>
        <v>7.9901766216401993E-3</v>
      </c>
      <c r="O200">
        <f t="shared" si="86"/>
        <v>-0.60901643060656996</v>
      </c>
      <c r="Q200">
        <f t="shared" si="87"/>
        <v>-23.493182485288049</v>
      </c>
      <c r="R200">
        <f t="shared" si="88"/>
        <v>0</v>
      </c>
      <c r="S200">
        <f t="shared" si="89"/>
        <v>4.3445098275122684E-6</v>
      </c>
      <c r="T200">
        <f t="shared" si="90"/>
        <v>-1.6059162051341149</v>
      </c>
      <c r="U200">
        <f t="shared" si="91"/>
        <v>-42.231282678084341</v>
      </c>
      <c r="V200">
        <f t="shared" si="92"/>
        <v>53.093708066271418</v>
      </c>
      <c r="W200">
        <f t="shared" si="93"/>
        <v>42.231282678084341</v>
      </c>
      <c r="Y200">
        <f t="shared" si="94"/>
        <v>-21.894489847113732</v>
      </c>
      <c r="Z200">
        <f t="shared" si="95"/>
        <v>-34.894071127878433</v>
      </c>
      <c r="AA200">
        <f t="shared" si="96"/>
        <v>-20.336792830970602</v>
      </c>
      <c r="AB200">
        <f t="shared" si="97"/>
        <v>87.987779194149866</v>
      </c>
    </row>
  </sheetData>
  <phoneticPr fontId="2" type="noConversion"/>
  <pageMargins left="0.75" right="0.75" top="1" bottom="1" header="0.5" footer="0.5"/>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9A83F-C9D2-49E4-81F7-EF2229FB4754}">
  <sheetPr codeName="Sheet7"/>
  <dimension ref="A1"/>
  <sheetViews>
    <sheetView workbookViewId="0">
      <selection activeCell="R23" sqref="R23"/>
    </sheetView>
  </sheetViews>
  <sheetFormatPr defaultRowHeight="13.2"/>
  <sheetData/>
  <sheetProtection password="944E" sheet="1" objects="1" scenarios="1"/>
  <phoneticPr fontId="2" type="noConversion"/>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A30B1-96AD-4C9A-9828-C175C064FB20}">
  <sheetPr codeName="Sheet8"/>
  <dimension ref="A1:E10"/>
  <sheetViews>
    <sheetView workbookViewId="0">
      <selection activeCell="C4" sqref="C4"/>
    </sheetView>
  </sheetViews>
  <sheetFormatPr defaultRowHeight="13.2"/>
  <sheetData>
    <row r="1" spans="1:5">
      <c r="B1" t="s">
        <v>327</v>
      </c>
      <c r="C1" t="s">
        <v>328</v>
      </c>
      <c r="D1" t="s">
        <v>329</v>
      </c>
    </row>
    <row r="2" spans="1:5">
      <c r="E2" t="s">
        <v>339</v>
      </c>
    </row>
    <row r="3" spans="1:5">
      <c r="A3" t="s">
        <v>330</v>
      </c>
      <c r="B3">
        <v>1</v>
      </c>
      <c r="C3">
        <v>2</v>
      </c>
      <c r="D3">
        <v>5</v>
      </c>
      <c r="E3" t="s">
        <v>339</v>
      </c>
    </row>
    <row r="4" spans="1:5">
      <c r="A4" t="s">
        <v>331</v>
      </c>
      <c r="B4">
        <v>10</v>
      </c>
      <c r="C4">
        <v>3</v>
      </c>
      <c r="D4">
        <v>3</v>
      </c>
    </row>
    <row r="5" spans="1:5">
      <c r="A5" t="s">
        <v>332</v>
      </c>
      <c r="B5">
        <v>12</v>
      </c>
      <c r="C5">
        <v>3</v>
      </c>
      <c r="D5">
        <v>3</v>
      </c>
    </row>
    <row r="6" spans="1:5">
      <c r="A6" t="s">
        <v>333</v>
      </c>
      <c r="B6">
        <v>11</v>
      </c>
      <c r="C6">
        <v>3</v>
      </c>
      <c r="D6">
        <v>3</v>
      </c>
    </row>
    <row r="7" spans="1:5">
      <c r="A7" t="s">
        <v>334</v>
      </c>
      <c r="B7">
        <v>13</v>
      </c>
      <c r="C7">
        <v>3</v>
      </c>
      <c r="D7">
        <v>3</v>
      </c>
    </row>
    <row r="8" spans="1:5">
      <c r="A8" t="s">
        <v>335</v>
      </c>
      <c r="B8">
        <v>14</v>
      </c>
      <c r="C8">
        <v>3</v>
      </c>
      <c r="D8">
        <v>3</v>
      </c>
    </row>
    <row r="9" spans="1:5">
      <c r="A9" t="s">
        <v>336</v>
      </c>
    </row>
    <row r="10" spans="1:5">
      <c r="A10" t="s">
        <v>337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8</vt:i4>
      </vt:variant>
      <vt:variant>
        <vt:lpstr>Intervalli denominati</vt:lpstr>
      </vt:variant>
      <vt:variant>
        <vt:i4>17</vt:i4>
      </vt:variant>
    </vt:vector>
  </HeadingPairs>
  <TitlesOfParts>
    <vt:vector size="25" baseType="lpstr">
      <vt:lpstr>Title_and_Schematics</vt:lpstr>
      <vt:lpstr>IC</vt:lpstr>
      <vt:lpstr>Main</vt:lpstr>
      <vt:lpstr>Components</vt:lpstr>
      <vt:lpstr>PS</vt:lpstr>
      <vt:lpstr>BodI</vt:lpstr>
      <vt:lpstr>Notes</vt:lpstr>
      <vt:lpstr>LTC</vt:lpstr>
      <vt:lpstr>fc</vt:lpstr>
      <vt:lpstr>fea</vt:lpstr>
      <vt:lpstr>fpo</vt:lpstr>
      <vt:lpstr>fs</vt:lpstr>
      <vt:lpstr>fthp</vt:lpstr>
      <vt:lpstr>fthz</vt:lpstr>
      <vt:lpstr>IC</vt:lpstr>
      <vt:lpstr>INTVcc</vt:lpstr>
      <vt:lpstr>Io</vt:lpstr>
      <vt:lpstr>Kref</vt:lpstr>
      <vt:lpstr>Rds</vt:lpstr>
      <vt:lpstr>Small_Signal_calculation</vt:lpstr>
      <vt:lpstr>Tfall</vt:lpstr>
      <vt:lpstr>Trise</vt:lpstr>
      <vt:lpstr>Vd</vt:lpstr>
      <vt:lpstr>Vin_nom</vt:lpstr>
      <vt:lpstr>Vout</vt:lpstr>
    </vt:vector>
  </TitlesOfParts>
  <Company>LTC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Liu</dc:creator>
  <cp:lastModifiedBy>LANZOLLA ANDREA</cp:lastModifiedBy>
  <cp:lastPrinted>2008-04-14T17:39:56Z</cp:lastPrinted>
  <dcterms:created xsi:type="dcterms:W3CDTF">2005-11-22T17:30:03Z</dcterms:created>
  <dcterms:modified xsi:type="dcterms:W3CDTF">2025-11-30T17:27:30Z</dcterms:modified>
</cp:coreProperties>
</file>